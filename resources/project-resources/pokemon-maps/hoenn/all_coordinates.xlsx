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bir/Project.Environments/Website.Environment/kabirakabira.github.io/resources/project-resources/pokemon-maps/hoenn/"/>
    </mc:Choice>
  </mc:AlternateContent>
  <xr:revisionPtr revIDLastSave="0" documentId="13_ncr:1_{BBD79A91-373A-E34E-9EF5-3A1DDAC4B6B6}" xr6:coauthVersionLast="47" xr6:coauthVersionMax="47" xr10:uidLastSave="{00000000-0000-0000-0000-000000000000}"/>
  <bookViews>
    <workbookView xWindow="29520" yWindow="3080" windowWidth="10000" windowHeight="16040" firstSheet="1" activeTab="3" xr2:uid="{51E141A1-4224-E742-AC16-550646A95C01}"/>
  </bookViews>
  <sheets>
    <sheet name="circleMarkers" sheetId="1" r:id="rId1"/>
    <sheet name="polygons" sheetId="2" r:id="rId2"/>
    <sheet name="pokemon_specific" sheetId="3" r:id="rId3"/>
    <sheet name="test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8" i="4" l="1"/>
  <c r="G21" i="4"/>
  <c r="G22" i="4"/>
  <c r="K2" i="4"/>
  <c r="L2" i="4"/>
  <c r="G29" i="4"/>
  <c r="G36" i="4"/>
  <c r="H36" i="4" s="1"/>
  <c r="K3" i="4"/>
  <c r="L3" i="4"/>
  <c r="K4" i="4"/>
  <c r="L4" i="4"/>
  <c r="K5" i="4"/>
  <c r="L5" i="4"/>
  <c r="K6" i="4"/>
  <c r="L6" i="4"/>
  <c r="K7" i="4"/>
  <c r="L7" i="4"/>
  <c r="K8" i="4"/>
  <c r="L8" i="4"/>
  <c r="K9" i="4"/>
  <c r="L9" i="4"/>
  <c r="K10" i="4"/>
  <c r="L10" i="4"/>
  <c r="K11" i="4"/>
  <c r="L11" i="4"/>
  <c r="K12" i="4"/>
  <c r="L12" i="4"/>
  <c r="K13" i="4"/>
  <c r="L13" i="4"/>
  <c r="K14" i="4"/>
  <c r="L14" i="4"/>
  <c r="K15" i="4"/>
  <c r="L15" i="4"/>
  <c r="K16" i="4"/>
  <c r="L16" i="4"/>
  <c r="K17" i="4"/>
  <c r="L17" i="4"/>
  <c r="K18" i="4"/>
  <c r="L18" i="4"/>
  <c r="K19" i="4"/>
  <c r="L19" i="4"/>
  <c r="K20" i="4"/>
  <c r="L20" i="4"/>
  <c r="K21" i="4"/>
  <c r="L21" i="4"/>
  <c r="K22" i="4"/>
  <c r="L22" i="4"/>
  <c r="K23" i="4"/>
  <c r="L23" i="4"/>
  <c r="K24" i="4"/>
  <c r="L24" i="4"/>
  <c r="K25" i="4"/>
  <c r="L25" i="4"/>
  <c r="K26" i="4"/>
  <c r="L26" i="4"/>
  <c r="K27" i="4"/>
  <c r="L27" i="4"/>
  <c r="K28" i="4"/>
  <c r="L28" i="4"/>
  <c r="K29" i="4"/>
  <c r="L29" i="4"/>
  <c r="K30" i="4"/>
  <c r="L30" i="4"/>
  <c r="K31" i="4"/>
  <c r="L31" i="4"/>
  <c r="K32" i="4"/>
  <c r="L32" i="4"/>
  <c r="K33" i="4"/>
  <c r="L33" i="4"/>
  <c r="K34" i="4"/>
  <c r="L34" i="4"/>
  <c r="K35" i="4"/>
  <c r="L35" i="4"/>
  <c r="K36" i="4"/>
  <c r="L36" i="4"/>
  <c r="K37" i="4"/>
  <c r="M37" i="4" s="1"/>
  <c r="L37" i="4"/>
  <c r="K38" i="4"/>
  <c r="L38" i="4"/>
  <c r="K39" i="4"/>
  <c r="L39" i="4"/>
  <c r="K40" i="4"/>
  <c r="L40" i="4"/>
  <c r="K41" i="4"/>
  <c r="L41" i="4"/>
  <c r="K42" i="4"/>
  <c r="L42" i="4"/>
  <c r="K43" i="4"/>
  <c r="L43" i="4"/>
  <c r="K44" i="4"/>
  <c r="L44" i="4"/>
  <c r="K45" i="4"/>
  <c r="L45" i="4"/>
  <c r="K46" i="4"/>
  <c r="L46" i="4"/>
  <c r="K47" i="4"/>
  <c r="L47" i="4"/>
  <c r="K48" i="4"/>
  <c r="L48" i="4"/>
  <c r="K49" i="4"/>
  <c r="L49" i="4"/>
  <c r="K50" i="4"/>
  <c r="L50" i="4"/>
  <c r="K51" i="4"/>
  <c r="L51" i="4"/>
  <c r="K52" i="4"/>
  <c r="L52" i="4"/>
  <c r="K53" i="4"/>
  <c r="L53" i="4"/>
  <c r="K54" i="4"/>
  <c r="L54" i="4"/>
  <c r="K55" i="4"/>
  <c r="L55" i="4"/>
  <c r="K56" i="4"/>
  <c r="L56" i="4"/>
  <c r="K57" i="4"/>
  <c r="L57" i="4"/>
  <c r="K58" i="4"/>
  <c r="L58" i="4"/>
  <c r="K59" i="4"/>
  <c r="L59" i="4"/>
  <c r="E59" i="4"/>
  <c r="G59" i="4" s="1"/>
  <c r="E58" i="4"/>
  <c r="G58" i="4" s="1"/>
  <c r="E57" i="4"/>
  <c r="G57" i="4" s="1"/>
  <c r="E56" i="4"/>
  <c r="G56" i="4" s="1"/>
  <c r="E55" i="4"/>
  <c r="G55" i="4" s="1"/>
  <c r="E54" i="4"/>
  <c r="G54" i="4" s="1"/>
  <c r="E53" i="4"/>
  <c r="G53" i="4" s="1"/>
  <c r="E52" i="4"/>
  <c r="G52" i="4" s="1"/>
  <c r="H52" i="4" s="1"/>
  <c r="E51" i="4"/>
  <c r="G51" i="4" s="1"/>
  <c r="E50" i="4"/>
  <c r="G50" i="4" s="1"/>
  <c r="H50" i="4" s="1"/>
  <c r="E49" i="4"/>
  <c r="G49" i="4" s="1"/>
  <c r="E48" i="4"/>
  <c r="G48" i="4" s="1"/>
  <c r="E47" i="4"/>
  <c r="G47" i="4" s="1"/>
  <c r="E46" i="4"/>
  <c r="G46" i="4" s="1"/>
  <c r="E45" i="4"/>
  <c r="G45" i="4" s="1"/>
  <c r="E44" i="4"/>
  <c r="G44" i="4" s="1"/>
  <c r="H44" i="4" s="1"/>
  <c r="N44" i="4" s="1"/>
  <c r="E43" i="4"/>
  <c r="G43" i="4" s="1"/>
  <c r="E42" i="4"/>
  <c r="G42" i="4" s="1"/>
  <c r="E41" i="4"/>
  <c r="G41" i="4" s="1"/>
  <c r="E40" i="4"/>
  <c r="G40" i="4" s="1"/>
  <c r="E39" i="4"/>
  <c r="G39" i="4" s="1"/>
  <c r="E38" i="4"/>
  <c r="E37" i="4"/>
  <c r="G37" i="4" s="1"/>
  <c r="E36" i="4"/>
  <c r="E35" i="4"/>
  <c r="G35" i="4" s="1"/>
  <c r="E34" i="4"/>
  <c r="G34" i="4" s="1"/>
  <c r="E33" i="4"/>
  <c r="G33" i="4" s="1"/>
  <c r="E32" i="4"/>
  <c r="G32" i="4" s="1"/>
  <c r="E31" i="4"/>
  <c r="G31" i="4" s="1"/>
  <c r="E30" i="4"/>
  <c r="G30" i="4" s="1"/>
  <c r="E29" i="4"/>
  <c r="E28" i="4"/>
  <c r="G28" i="4" s="1"/>
  <c r="H28" i="4" s="1"/>
  <c r="E27" i="4"/>
  <c r="G27" i="4" s="1"/>
  <c r="E26" i="4"/>
  <c r="G26" i="4" s="1"/>
  <c r="E25" i="4"/>
  <c r="G25" i="4" s="1"/>
  <c r="E24" i="4"/>
  <c r="G24" i="4" s="1"/>
  <c r="E23" i="4"/>
  <c r="G23" i="4" s="1"/>
  <c r="E22" i="4"/>
  <c r="E21" i="4"/>
  <c r="E20" i="4"/>
  <c r="G20" i="4" s="1"/>
  <c r="E19" i="4"/>
  <c r="G19" i="4" s="1"/>
  <c r="E18" i="4"/>
  <c r="G18" i="4" s="1"/>
  <c r="E17" i="4"/>
  <c r="G17" i="4" s="1"/>
  <c r="E16" i="4"/>
  <c r="G16" i="4" s="1"/>
  <c r="E15" i="4"/>
  <c r="G15" i="4" s="1"/>
  <c r="E14" i="4"/>
  <c r="G14" i="4" s="1"/>
  <c r="E13" i="4"/>
  <c r="G13" i="4" s="1"/>
  <c r="E12" i="4"/>
  <c r="G12" i="4" s="1"/>
  <c r="H12" i="4" s="1"/>
  <c r="E11" i="4"/>
  <c r="G11" i="4" s="1"/>
  <c r="E10" i="4"/>
  <c r="G10" i="4" s="1"/>
  <c r="E9" i="4"/>
  <c r="G9" i="4" s="1"/>
  <c r="E8" i="4"/>
  <c r="G8" i="4" s="1"/>
  <c r="E7" i="4"/>
  <c r="G7" i="4" s="1"/>
  <c r="E6" i="4"/>
  <c r="G6" i="4" s="1"/>
  <c r="E5" i="4"/>
  <c r="G5" i="4" s="1"/>
  <c r="E4" i="4"/>
  <c r="G4" i="4" s="1"/>
  <c r="H4" i="4" s="1"/>
  <c r="E3" i="4"/>
  <c r="G3" i="4" s="1"/>
  <c r="E2" i="4"/>
  <c r="G2" i="4" s="1"/>
  <c r="H2" i="4" s="1"/>
  <c r="N2" i="4" s="1"/>
  <c r="N47" i="3"/>
  <c r="L47" i="3"/>
  <c r="K47" i="3"/>
  <c r="M47" i="3"/>
  <c r="I47" i="3"/>
  <c r="H47" i="3"/>
  <c r="E47" i="3"/>
  <c r="K36" i="3"/>
  <c r="L36" i="3"/>
  <c r="N36" i="3" s="1"/>
  <c r="M36" i="3"/>
  <c r="L38" i="3"/>
  <c r="K39" i="3"/>
  <c r="K41" i="3"/>
  <c r="K42" i="3"/>
  <c r="K43" i="3"/>
  <c r="M43" i="3"/>
  <c r="K44" i="3"/>
  <c r="L44" i="3"/>
  <c r="L46" i="3"/>
  <c r="L48" i="3"/>
  <c r="K49" i="3"/>
  <c r="K51" i="3"/>
  <c r="M51" i="3" s="1"/>
  <c r="L51" i="3"/>
  <c r="K53" i="3"/>
  <c r="M53" i="3"/>
  <c r="L55" i="3"/>
  <c r="K56" i="3"/>
  <c r="K58" i="3"/>
  <c r="L59" i="3"/>
  <c r="L34" i="3"/>
  <c r="K34" i="3"/>
  <c r="M34" i="3" s="1"/>
  <c r="H34" i="3"/>
  <c r="I34" i="3"/>
  <c r="H35" i="3"/>
  <c r="L35" i="3" s="1"/>
  <c r="I35" i="3"/>
  <c r="H36" i="3"/>
  <c r="I36" i="3"/>
  <c r="H37" i="3"/>
  <c r="L37" i="3" s="1"/>
  <c r="I37" i="3"/>
  <c r="H38" i="3"/>
  <c r="I38" i="3"/>
  <c r="H39" i="3"/>
  <c r="M39" i="3" s="1"/>
  <c r="I39" i="3"/>
  <c r="L39" i="3" s="1"/>
  <c r="H40" i="3"/>
  <c r="M40" i="3" s="1"/>
  <c r="I40" i="3"/>
  <c r="H41" i="3"/>
  <c r="L41" i="3" s="1"/>
  <c r="I41" i="3"/>
  <c r="H42" i="3"/>
  <c r="L42" i="3" s="1"/>
  <c r="I42" i="3"/>
  <c r="H43" i="3"/>
  <c r="I43" i="3"/>
  <c r="L43" i="3" s="1"/>
  <c r="H44" i="3"/>
  <c r="I44" i="3"/>
  <c r="H45" i="3"/>
  <c r="L45" i="3" s="1"/>
  <c r="I45" i="3"/>
  <c r="H46" i="3"/>
  <c r="I46" i="3"/>
  <c r="H48" i="3"/>
  <c r="I48" i="3"/>
  <c r="H49" i="3"/>
  <c r="M49" i="3" s="1"/>
  <c r="I49" i="3"/>
  <c r="H50" i="3"/>
  <c r="M50" i="3" s="1"/>
  <c r="I50" i="3"/>
  <c r="H51" i="3"/>
  <c r="I51" i="3"/>
  <c r="H52" i="3"/>
  <c r="L52" i="3" s="1"/>
  <c r="I52" i="3"/>
  <c r="H53" i="3"/>
  <c r="I53" i="3"/>
  <c r="L53" i="3" s="1"/>
  <c r="N53" i="3" s="1"/>
  <c r="H54" i="3"/>
  <c r="L54" i="3" s="1"/>
  <c r="I54" i="3"/>
  <c r="H55" i="3"/>
  <c r="I55" i="3"/>
  <c r="H56" i="3"/>
  <c r="M56" i="3" s="1"/>
  <c r="I56" i="3"/>
  <c r="L56" i="3" s="1"/>
  <c r="N56" i="3" s="1"/>
  <c r="H57" i="3"/>
  <c r="L57" i="3" s="1"/>
  <c r="I57" i="3"/>
  <c r="H58" i="3"/>
  <c r="L58" i="3" s="1"/>
  <c r="I58" i="3"/>
  <c r="H59" i="3"/>
  <c r="I59" i="3"/>
  <c r="E59" i="3"/>
  <c r="K59" i="3" s="1"/>
  <c r="M59" i="3" s="1"/>
  <c r="E58" i="3"/>
  <c r="E57" i="3"/>
  <c r="K57" i="3" s="1"/>
  <c r="E56" i="3"/>
  <c r="E55" i="3"/>
  <c r="K55" i="3" s="1"/>
  <c r="M55" i="3" s="1"/>
  <c r="E54" i="3"/>
  <c r="K54" i="3" s="1"/>
  <c r="E53" i="3"/>
  <c r="E52" i="3"/>
  <c r="K52" i="3" s="1"/>
  <c r="E51" i="3"/>
  <c r="E50" i="3"/>
  <c r="K50" i="3" s="1"/>
  <c r="E49" i="3"/>
  <c r="E48" i="3"/>
  <c r="K48" i="3" s="1"/>
  <c r="M48" i="3" s="1"/>
  <c r="N48" i="3" s="1"/>
  <c r="E46" i="3"/>
  <c r="K46" i="3" s="1"/>
  <c r="M46" i="3" s="1"/>
  <c r="E45" i="3"/>
  <c r="K45" i="3" s="1"/>
  <c r="E44" i="3"/>
  <c r="E43" i="3"/>
  <c r="E42" i="3"/>
  <c r="E41" i="3"/>
  <c r="E40" i="3"/>
  <c r="K40" i="3" s="1"/>
  <c r="E39" i="3"/>
  <c r="E38" i="3"/>
  <c r="K38" i="3" s="1"/>
  <c r="M38" i="3" s="1"/>
  <c r="E37" i="3"/>
  <c r="K37" i="3" s="1"/>
  <c r="E36" i="3"/>
  <c r="E35" i="3"/>
  <c r="K35" i="3" s="1"/>
  <c r="E34" i="3"/>
  <c r="E9" i="3"/>
  <c r="K9" i="3" s="1"/>
  <c r="E10" i="3"/>
  <c r="K10" i="3" s="1"/>
  <c r="E11" i="3"/>
  <c r="E12" i="3"/>
  <c r="K12" i="3" s="1"/>
  <c r="E13" i="3"/>
  <c r="K13" i="3" s="1"/>
  <c r="E14" i="3"/>
  <c r="K14" i="3" s="1"/>
  <c r="E15" i="3"/>
  <c r="K15" i="3" s="1"/>
  <c r="E16" i="3"/>
  <c r="K16" i="3" s="1"/>
  <c r="E17" i="3"/>
  <c r="K17" i="3" s="1"/>
  <c r="E18" i="3"/>
  <c r="K18" i="3" s="1"/>
  <c r="E19" i="3"/>
  <c r="K19" i="3" s="1"/>
  <c r="E20" i="3"/>
  <c r="K20" i="3" s="1"/>
  <c r="E21" i="3"/>
  <c r="K21" i="3" s="1"/>
  <c r="E22" i="3"/>
  <c r="K22" i="3" s="1"/>
  <c r="E23" i="3"/>
  <c r="K23" i="3" s="1"/>
  <c r="E24" i="3"/>
  <c r="K24" i="3" s="1"/>
  <c r="E25" i="3"/>
  <c r="E26" i="3"/>
  <c r="K26" i="3" s="1"/>
  <c r="E27" i="3"/>
  <c r="K27" i="3" s="1"/>
  <c r="E28" i="3"/>
  <c r="K28" i="3" s="1"/>
  <c r="M28" i="3" s="1"/>
  <c r="E29" i="3"/>
  <c r="K29" i="3" s="1"/>
  <c r="E30" i="3"/>
  <c r="K30" i="3" s="1"/>
  <c r="E31" i="3"/>
  <c r="K31" i="3" s="1"/>
  <c r="E32" i="3"/>
  <c r="K32" i="3" s="1"/>
  <c r="E33" i="3"/>
  <c r="K33" i="3" s="1"/>
  <c r="E8" i="3"/>
  <c r="K8" i="3" s="1"/>
  <c r="H8" i="3"/>
  <c r="I8" i="3"/>
  <c r="H9" i="3"/>
  <c r="I9" i="3"/>
  <c r="H10" i="3"/>
  <c r="I10" i="3"/>
  <c r="H11" i="3"/>
  <c r="I11" i="3"/>
  <c r="K11" i="3"/>
  <c r="H12" i="3"/>
  <c r="I12" i="3"/>
  <c r="H13" i="3"/>
  <c r="I13" i="3"/>
  <c r="H14" i="3"/>
  <c r="I14" i="3"/>
  <c r="H15" i="3"/>
  <c r="I15" i="3"/>
  <c r="H16" i="3"/>
  <c r="I16" i="3"/>
  <c r="H17" i="3"/>
  <c r="I17" i="3"/>
  <c r="H18" i="3"/>
  <c r="I18" i="3"/>
  <c r="H19" i="3"/>
  <c r="I19" i="3"/>
  <c r="H20" i="3"/>
  <c r="I20" i="3"/>
  <c r="H21" i="3"/>
  <c r="I21" i="3"/>
  <c r="H22" i="3"/>
  <c r="I22" i="3"/>
  <c r="H23" i="3"/>
  <c r="L23" i="3" s="1"/>
  <c r="I23" i="3"/>
  <c r="H24" i="3"/>
  <c r="I24" i="3"/>
  <c r="H25" i="3"/>
  <c r="I25" i="3"/>
  <c r="K25" i="3"/>
  <c r="H26" i="3"/>
  <c r="I26" i="3"/>
  <c r="H27" i="3"/>
  <c r="I27" i="3"/>
  <c r="H28" i="3"/>
  <c r="I28" i="3"/>
  <c r="H29" i="3"/>
  <c r="I29" i="3"/>
  <c r="H30" i="3"/>
  <c r="I30" i="3"/>
  <c r="H31" i="3"/>
  <c r="I31" i="3"/>
  <c r="H32" i="3"/>
  <c r="I32" i="3"/>
  <c r="H33" i="3"/>
  <c r="I33" i="3"/>
  <c r="E7" i="3"/>
  <c r="K7" i="3" s="1"/>
  <c r="E6" i="3"/>
  <c r="K6" i="3" s="1"/>
  <c r="E5" i="3"/>
  <c r="K5" i="3" s="1"/>
  <c r="E4" i="3"/>
  <c r="K4" i="3" s="1"/>
  <c r="E3" i="3"/>
  <c r="K3" i="3" s="1"/>
  <c r="E2" i="3"/>
  <c r="K2" i="3" s="1"/>
  <c r="I7" i="3"/>
  <c r="H7" i="3"/>
  <c r="I6" i="3"/>
  <c r="H6" i="3"/>
  <c r="I5" i="3"/>
  <c r="H5" i="3"/>
  <c r="I4" i="3"/>
  <c r="H4" i="3"/>
  <c r="I3" i="3"/>
  <c r="H3" i="3"/>
  <c r="M3" i="3" s="1"/>
  <c r="I2" i="3"/>
  <c r="H2" i="3"/>
  <c r="H32" i="1"/>
  <c r="G32" i="1"/>
  <c r="F32" i="1"/>
  <c r="H27" i="1"/>
  <c r="H26" i="1"/>
  <c r="G27" i="1"/>
  <c r="G26" i="1"/>
  <c r="F27" i="1"/>
  <c r="F26" i="1"/>
  <c r="H31" i="1"/>
  <c r="H30" i="1"/>
  <c r="H29" i="1"/>
  <c r="H28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L4" i="2"/>
  <c r="T4" i="2" s="1"/>
  <c r="M4" i="2"/>
  <c r="U4" i="2" s="1"/>
  <c r="AB4" i="2" s="1"/>
  <c r="L5" i="2"/>
  <c r="T5" i="2" s="1"/>
  <c r="M5" i="2"/>
  <c r="U5" i="2" s="1"/>
  <c r="AB5" i="2" s="1"/>
  <c r="L6" i="2"/>
  <c r="T6" i="2" s="1"/>
  <c r="M6" i="2"/>
  <c r="U6" i="2" s="1"/>
  <c r="AB6" i="2" s="1"/>
  <c r="L7" i="2"/>
  <c r="T7" i="2" s="1"/>
  <c r="M7" i="2"/>
  <c r="U7" i="2" s="1"/>
  <c r="AB7" i="2" s="1"/>
  <c r="L8" i="2"/>
  <c r="T8" i="2" s="1"/>
  <c r="M8" i="2"/>
  <c r="U8" i="2" s="1"/>
  <c r="AB8" i="2" s="1"/>
  <c r="L9" i="2"/>
  <c r="T9" i="2" s="1"/>
  <c r="M9" i="2"/>
  <c r="U9" i="2" s="1"/>
  <c r="AB9" i="2" s="1"/>
  <c r="L10" i="2"/>
  <c r="T10" i="2" s="1"/>
  <c r="M10" i="2"/>
  <c r="U10" i="2" s="1"/>
  <c r="AB10" i="2" s="1"/>
  <c r="L11" i="2"/>
  <c r="T11" i="2" s="1"/>
  <c r="M11" i="2"/>
  <c r="U11" i="2" s="1"/>
  <c r="AB11" i="2" s="1"/>
  <c r="L12" i="2"/>
  <c r="T12" i="2" s="1"/>
  <c r="M12" i="2"/>
  <c r="U12" i="2" s="1"/>
  <c r="L13" i="2"/>
  <c r="T13" i="2" s="1"/>
  <c r="M13" i="2"/>
  <c r="U13" i="2" s="1"/>
  <c r="AB13" i="2" s="1"/>
  <c r="L14" i="2"/>
  <c r="T14" i="2" s="1"/>
  <c r="M14" i="2"/>
  <c r="U14" i="2" s="1"/>
  <c r="AB14" i="2" s="1"/>
  <c r="L15" i="2"/>
  <c r="T15" i="2" s="1"/>
  <c r="M15" i="2"/>
  <c r="U15" i="2" s="1"/>
  <c r="L16" i="2"/>
  <c r="T16" i="2" s="1"/>
  <c r="M16" i="2"/>
  <c r="U16" i="2" s="1"/>
  <c r="AB16" i="2" s="1"/>
  <c r="L17" i="2"/>
  <c r="T17" i="2" s="1"/>
  <c r="M17" i="2"/>
  <c r="U17" i="2" s="1"/>
  <c r="AB17" i="2" s="1"/>
  <c r="L18" i="2"/>
  <c r="T18" i="2" s="1"/>
  <c r="M18" i="2"/>
  <c r="U18" i="2" s="1"/>
  <c r="AB18" i="2" s="1"/>
  <c r="L19" i="2"/>
  <c r="T19" i="2" s="1"/>
  <c r="M19" i="2"/>
  <c r="U19" i="2" s="1"/>
  <c r="AB19" i="2" s="1"/>
  <c r="L20" i="2"/>
  <c r="T20" i="2" s="1"/>
  <c r="M20" i="2"/>
  <c r="U20" i="2" s="1"/>
  <c r="AB20" i="2" s="1"/>
  <c r="L21" i="2"/>
  <c r="T21" i="2" s="1"/>
  <c r="M21" i="2"/>
  <c r="U21" i="2" s="1"/>
  <c r="AB21" i="2" s="1"/>
  <c r="L22" i="2"/>
  <c r="T22" i="2" s="1"/>
  <c r="M22" i="2"/>
  <c r="U22" i="2" s="1"/>
  <c r="AB22" i="2" s="1"/>
  <c r="L23" i="2"/>
  <c r="T23" i="2" s="1"/>
  <c r="M23" i="2"/>
  <c r="U23" i="2" s="1"/>
  <c r="AB23" i="2" s="1"/>
  <c r="L24" i="2"/>
  <c r="T24" i="2" s="1"/>
  <c r="M24" i="2"/>
  <c r="U24" i="2" s="1"/>
  <c r="AB24" i="2" s="1"/>
  <c r="L25" i="2"/>
  <c r="T25" i="2" s="1"/>
  <c r="M25" i="2"/>
  <c r="U25" i="2" s="1"/>
  <c r="AB25" i="2" s="1"/>
  <c r="L26" i="2"/>
  <c r="T26" i="2" s="1"/>
  <c r="M26" i="2"/>
  <c r="U26" i="2" s="1"/>
  <c r="L27" i="2"/>
  <c r="T27" i="2" s="1"/>
  <c r="M27" i="2"/>
  <c r="U27" i="2" s="1"/>
  <c r="L28" i="2"/>
  <c r="T28" i="2" s="1"/>
  <c r="M28" i="2"/>
  <c r="U28" i="2" s="1"/>
  <c r="AB28" i="2" s="1"/>
  <c r="L29" i="2"/>
  <c r="T29" i="2" s="1"/>
  <c r="M29" i="2"/>
  <c r="U29" i="2" s="1"/>
  <c r="S29" i="2"/>
  <c r="AA29" i="2" s="1"/>
  <c r="L30" i="2"/>
  <c r="T30" i="2" s="1"/>
  <c r="M30" i="2"/>
  <c r="U30" i="2" s="1"/>
  <c r="L31" i="2"/>
  <c r="T31" i="2" s="1"/>
  <c r="M31" i="2"/>
  <c r="U31" i="2" s="1"/>
  <c r="AB31" i="2" s="1"/>
  <c r="S31" i="2"/>
  <c r="AA31" i="2" s="1"/>
  <c r="L32" i="2"/>
  <c r="T32" i="2" s="1"/>
  <c r="M32" i="2"/>
  <c r="U32" i="2" s="1"/>
  <c r="AB32" i="2" s="1"/>
  <c r="L33" i="2"/>
  <c r="T33" i="2" s="1"/>
  <c r="M33" i="2"/>
  <c r="U33" i="2" s="1"/>
  <c r="L34" i="2"/>
  <c r="T34" i="2" s="1"/>
  <c r="M34" i="2"/>
  <c r="U34" i="2" s="1"/>
  <c r="AB34" i="2" s="1"/>
  <c r="L35" i="2"/>
  <c r="T35" i="2" s="1"/>
  <c r="M35" i="2"/>
  <c r="U35" i="2" s="1"/>
  <c r="AB35" i="2" s="1"/>
  <c r="S35" i="2"/>
  <c r="AA35" i="2" s="1"/>
  <c r="AE35" i="2" s="1"/>
  <c r="L36" i="2"/>
  <c r="T36" i="2" s="1"/>
  <c r="M36" i="2"/>
  <c r="U36" i="2" s="1"/>
  <c r="L37" i="2"/>
  <c r="T37" i="2" s="1"/>
  <c r="M37" i="2"/>
  <c r="U37" i="2" s="1"/>
  <c r="L38" i="2"/>
  <c r="T38" i="2" s="1"/>
  <c r="M38" i="2"/>
  <c r="U38" i="2" s="1"/>
  <c r="L39" i="2"/>
  <c r="T39" i="2" s="1"/>
  <c r="M39" i="2"/>
  <c r="U39" i="2" s="1"/>
  <c r="AB39" i="2" s="1"/>
  <c r="S39" i="2"/>
  <c r="AA39" i="2" s="1"/>
  <c r="L40" i="2"/>
  <c r="T40" i="2" s="1"/>
  <c r="M40" i="2"/>
  <c r="U40" i="2" s="1"/>
  <c r="AB40" i="2" s="1"/>
  <c r="L41" i="2"/>
  <c r="T41" i="2" s="1"/>
  <c r="M41" i="2"/>
  <c r="U41" i="2" s="1"/>
  <c r="AB41" i="2" s="1"/>
  <c r="S41" i="2"/>
  <c r="AA41" i="2" s="1"/>
  <c r="S3" i="2"/>
  <c r="AA3" i="2" s="1"/>
  <c r="M3" i="2"/>
  <c r="U3" i="2" s="1"/>
  <c r="AB3" i="2" s="1"/>
  <c r="L3" i="2"/>
  <c r="T3" i="2" s="1"/>
  <c r="K41" i="2"/>
  <c r="H41" i="2"/>
  <c r="G41" i="2"/>
  <c r="I41" i="2" s="1"/>
  <c r="Q41" i="2" s="1"/>
  <c r="Y41" i="2" s="1"/>
  <c r="F41" i="2"/>
  <c r="N41" i="2" s="1"/>
  <c r="V41" i="2" s="1"/>
  <c r="K40" i="2"/>
  <c r="S40" i="2" s="1"/>
  <c r="AA40" i="2" s="1"/>
  <c r="H40" i="2"/>
  <c r="G40" i="2"/>
  <c r="I40" i="2" s="1"/>
  <c r="Q40" i="2" s="1"/>
  <c r="Y40" i="2" s="1"/>
  <c r="F40" i="2"/>
  <c r="N40" i="2" s="1"/>
  <c r="V40" i="2" s="1"/>
  <c r="K39" i="2"/>
  <c r="H39" i="2"/>
  <c r="G39" i="2"/>
  <c r="I39" i="2" s="1"/>
  <c r="Q39" i="2" s="1"/>
  <c r="Y39" i="2" s="1"/>
  <c r="F39" i="2"/>
  <c r="N39" i="2" s="1"/>
  <c r="V39" i="2" s="1"/>
  <c r="K38" i="2"/>
  <c r="S38" i="2" s="1"/>
  <c r="AA38" i="2" s="1"/>
  <c r="H38" i="2"/>
  <c r="P38" i="2" s="1"/>
  <c r="X38" i="2" s="1"/>
  <c r="G38" i="2"/>
  <c r="F38" i="2"/>
  <c r="N38" i="2" s="1"/>
  <c r="V38" i="2" s="1"/>
  <c r="K37" i="2"/>
  <c r="S37" i="2" s="1"/>
  <c r="AA37" i="2" s="1"/>
  <c r="AE37" i="2" s="1"/>
  <c r="H37" i="2"/>
  <c r="J37" i="2" s="1"/>
  <c r="R37" i="2" s="1"/>
  <c r="Z37" i="2" s="1"/>
  <c r="G37" i="2"/>
  <c r="I37" i="2" s="1"/>
  <c r="Q37" i="2" s="1"/>
  <c r="Y37" i="2" s="1"/>
  <c r="F37" i="2"/>
  <c r="N37" i="2" s="1"/>
  <c r="V37" i="2" s="1"/>
  <c r="K36" i="2"/>
  <c r="S36" i="2" s="1"/>
  <c r="AA36" i="2" s="1"/>
  <c r="H36" i="2"/>
  <c r="G36" i="2"/>
  <c r="F36" i="2"/>
  <c r="N36" i="2" s="1"/>
  <c r="V36" i="2" s="1"/>
  <c r="K35" i="2"/>
  <c r="H35" i="2"/>
  <c r="J35" i="2" s="1"/>
  <c r="R35" i="2" s="1"/>
  <c r="Z35" i="2" s="1"/>
  <c r="G35" i="2"/>
  <c r="I35" i="2" s="1"/>
  <c r="Q35" i="2" s="1"/>
  <c r="Y35" i="2" s="1"/>
  <c r="F35" i="2"/>
  <c r="N35" i="2" s="1"/>
  <c r="V35" i="2" s="1"/>
  <c r="K34" i="2"/>
  <c r="S34" i="2" s="1"/>
  <c r="AA34" i="2" s="1"/>
  <c r="H34" i="2"/>
  <c r="G34" i="2"/>
  <c r="F34" i="2"/>
  <c r="N34" i="2" s="1"/>
  <c r="V34" i="2" s="1"/>
  <c r="K33" i="2"/>
  <c r="S33" i="2" s="1"/>
  <c r="AA33" i="2" s="1"/>
  <c r="AE33" i="2" s="1"/>
  <c r="H33" i="2"/>
  <c r="J33" i="2" s="1"/>
  <c r="R33" i="2" s="1"/>
  <c r="Z33" i="2" s="1"/>
  <c r="G33" i="2"/>
  <c r="I33" i="2" s="1"/>
  <c r="Q33" i="2" s="1"/>
  <c r="Y33" i="2" s="1"/>
  <c r="F33" i="2"/>
  <c r="N33" i="2" s="1"/>
  <c r="V33" i="2" s="1"/>
  <c r="K32" i="2"/>
  <c r="S32" i="2" s="1"/>
  <c r="AA32" i="2" s="1"/>
  <c r="H32" i="2"/>
  <c r="G32" i="2"/>
  <c r="F32" i="2"/>
  <c r="N32" i="2" s="1"/>
  <c r="V32" i="2" s="1"/>
  <c r="K31" i="2"/>
  <c r="H31" i="2"/>
  <c r="G31" i="2"/>
  <c r="O31" i="2" s="1"/>
  <c r="W31" i="2" s="1"/>
  <c r="F31" i="2"/>
  <c r="N31" i="2" s="1"/>
  <c r="V31" i="2" s="1"/>
  <c r="K30" i="2"/>
  <c r="S30" i="2" s="1"/>
  <c r="AA30" i="2" s="1"/>
  <c r="H30" i="2"/>
  <c r="G30" i="2"/>
  <c r="I30" i="2" s="1"/>
  <c r="Q30" i="2" s="1"/>
  <c r="Y30" i="2" s="1"/>
  <c r="F30" i="2"/>
  <c r="N30" i="2" s="1"/>
  <c r="V30" i="2" s="1"/>
  <c r="K29" i="2"/>
  <c r="H29" i="2"/>
  <c r="G29" i="2"/>
  <c r="I29" i="2" s="1"/>
  <c r="Q29" i="2" s="1"/>
  <c r="Y29" i="2" s="1"/>
  <c r="F29" i="2"/>
  <c r="N29" i="2" s="1"/>
  <c r="V29" i="2" s="1"/>
  <c r="K28" i="2"/>
  <c r="S28" i="2" s="1"/>
  <c r="AA28" i="2" s="1"/>
  <c r="H28" i="2"/>
  <c r="G28" i="2"/>
  <c r="I28" i="2" s="1"/>
  <c r="Q28" i="2" s="1"/>
  <c r="Y28" i="2" s="1"/>
  <c r="F28" i="2"/>
  <c r="N28" i="2" s="1"/>
  <c r="V28" i="2" s="1"/>
  <c r="K27" i="2"/>
  <c r="S27" i="2" s="1"/>
  <c r="AA27" i="2" s="1"/>
  <c r="H27" i="2"/>
  <c r="G27" i="2"/>
  <c r="I27" i="2" s="1"/>
  <c r="Q27" i="2" s="1"/>
  <c r="Y27" i="2" s="1"/>
  <c r="F27" i="2"/>
  <c r="N27" i="2" s="1"/>
  <c r="V27" i="2" s="1"/>
  <c r="K26" i="2"/>
  <c r="S26" i="2" s="1"/>
  <c r="AA26" i="2" s="1"/>
  <c r="I26" i="2"/>
  <c r="Q26" i="2" s="1"/>
  <c r="Y26" i="2" s="1"/>
  <c r="H26" i="2"/>
  <c r="J26" i="2" s="1"/>
  <c r="R26" i="2" s="1"/>
  <c r="Z26" i="2" s="1"/>
  <c r="G26" i="2"/>
  <c r="O26" i="2" s="1"/>
  <c r="W26" i="2" s="1"/>
  <c r="F26" i="2"/>
  <c r="N26" i="2" s="1"/>
  <c r="V26" i="2" s="1"/>
  <c r="K25" i="2"/>
  <c r="S25" i="2" s="1"/>
  <c r="AA25" i="2" s="1"/>
  <c r="H25" i="2"/>
  <c r="J25" i="2" s="1"/>
  <c r="R25" i="2" s="1"/>
  <c r="Z25" i="2" s="1"/>
  <c r="G25" i="2"/>
  <c r="F25" i="2"/>
  <c r="N25" i="2" s="1"/>
  <c r="V25" i="2" s="1"/>
  <c r="K24" i="2"/>
  <c r="S24" i="2" s="1"/>
  <c r="AA24" i="2" s="1"/>
  <c r="H24" i="2"/>
  <c r="J24" i="2" s="1"/>
  <c r="R24" i="2" s="1"/>
  <c r="Z24" i="2" s="1"/>
  <c r="G24" i="2"/>
  <c r="I24" i="2" s="1"/>
  <c r="Q24" i="2" s="1"/>
  <c r="Y24" i="2" s="1"/>
  <c r="F24" i="2"/>
  <c r="N24" i="2" s="1"/>
  <c r="V24" i="2" s="1"/>
  <c r="K23" i="2"/>
  <c r="S23" i="2" s="1"/>
  <c r="AA23" i="2" s="1"/>
  <c r="H23" i="2"/>
  <c r="J23" i="2" s="1"/>
  <c r="R23" i="2" s="1"/>
  <c r="Z23" i="2" s="1"/>
  <c r="G23" i="2"/>
  <c r="F23" i="2"/>
  <c r="N23" i="2" s="1"/>
  <c r="V23" i="2" s="1"/>
  <c r="K22" i="2"/>
  <c r="S22" i="2" s="1"/>
  <c r="AA22" i="2" s="1"/>
  <c r="H22" i="2"/>
  <c r="J22" i="2" s="1"/>
  <c r="R22" i="2" s="1"/>
  <c r="Z22" i="2" s="1"/>
  <c r="G22" i="2"/>
  <c r="F22" i="2"/>
  <c r="N22" i="2" s="1"/>
  <c r="V22" i="2" s="1"/>
  <c r="K21" i="2"/>
  <c r="S21" i="2" s="1"/>
  <c r="AA21" i="2" s="1"/>
  <c r="H21" i="2"/>
  <c r="J21" i="2" s="1"/>
  <c r="R21" i="2" s="1"/>
  <c r="Z21" i="2" s="1"/>
  <c r="G21" i="2"/>
  <c r="I21" i="2" s="1"/>
  <c r="Q21" i="2" s="1"/>
  <c r="Y21" i="2" s="1"/>
  <c r="F21" i="2"/>
  <c r="N21" i="2" s="1"/>
  <c r="V21" i="2" s="1"/>
  <c r="K20" i="2"/>
  <c r="S20" i="2" s="1"/>
  <c r="AA20" i="2" s="1"/>
  <c r="H20" i="2"/>
  <c r="J20" i="2" s="1"/>
  <c r="R20" i="2" s="1"/>
  <c r="Z20" i="2" s="1"/>
  <c r="G20" i="2"/>
  <c r="F20" i="2"/>
  <c r="N20" i="2" s="1"/>
  <c r="V20" i="2" s="1"/>
  <c r="K19" i="2"/>
  <c r="S19" i="2" s="1"/>
  <c r="AA19" i="2" s="1"/>
  <c r="H19" i="2"/>
  <c r="J19" i="2" s="1"/>
  <c r="R19" i="2" s="1"/>
  <c r="Z19" i="2" s="1"/>
  <c r="G19" i="2"/>
  <c r="I19" i="2" s="1"/>
  <c r="Q19" i="2" s="1"/>
  <c r="Y19" i="2" s="1"/>
  <c r="F19" i="2"/>
  <c r="N19" i="2" s="1"/>
  <c r="V19" i="2" s="1"/>
  <c r="K18" i="2"/>
  <c r="S18" i="2" s="1"/>
  <c r="AA18" i="2" s="1"/>
  <c r="H18" i="2"/>
  <c r="J18" i="2" s="1"/>
  <c r="R18" i="2" s="1"/>
  <c r="Z18" i="2" s="1"/>
  <c r="G18" i="2"/>
  <c r="F18" i="2"/>
  <c r="N18" i="2" s="1"/>
  <c r="V18" i="2" s="1"/>
  <c r="K17" i="2"/>
  <c r="S17" i="2" s="1"/>
  <c r="AA17" i="2" s="1"/>
  <c r="H17" i="2"/>
  <c r="J17" i="2" s="1"/>
  <c r="R17" i="2" s="1"/>
  <c r="Z17" i="2" s="1"/>
  <c r="G17" i="2"/>
  <c r="I17" i="2" s="1"/>
  <c r="Q17" i="2" s="1"/>
  <c r="Y17" i="2" s="1"/>
  <c r="F17" i="2"/>
  <c r="N17" i="2" s="1"/>
  <c r="V17" i="2" s="1"/>
  <c r="K16" i="2"/>
  <c r="S16" i="2" s="1"/>
  <c r="AA16" i="2" s="1"/>
  <c r="H16" i="2"/>
  <c r="G16" i="2"/>
  <c r="F16" i="2"/>
  <c r="N16" i="2" s="1"/>
  <c r="V16" i="2" s="1"/>
  <c r="K15" i="2"/>
  <c r="S15" i="2" s="1"/>
  <c r="AA15" i="2" s="1"/>
  <c r="H15" i="2"/>
  <c r="J15" i="2" s="1"/>
  <c r="R15" i="2" s="1"/>
  <c r="Z15" i="2" s="1"/>
  <c r="G15" i="2"/>
  <c r="I15" i="2" s="1"/>
  <c r="Q15" i="2" s="1"/>
  <c r="Y15" i="2" s="1"/>
  <c r="F15" i="2"/>
  <c r="N15" i="2" s="1"/>
  <c r="V15" i="2" s="1"/>
  <c r="K14" i="2"/>
  <c r="S14" i="2" s="1"/>
  <c r="AA14" i="2" s="1"/>
  <c r="H14" i="2"/>
  <c r="G14" i="2"/>
  <c r="F14" i="2"/>
  <c r="N14" i="2" s="1"/>
  <c r="V14" i="2" s="1"/>
  <c r="K13" i="2"/>
  <c r="S13" i="2" s="1"/>
  <c r="AA13" i="2" s="1"/>
  <c r="H13" i="2"/>
  <c r="J13" i="2" s="1"/>
  <c r="R13" i="2" s="1"/>
  <c r="Z13" i="2" s="1"/>
  <c r="G13" i="2"/>
  <c r="F13" i="2"/>
  <c r="N13" i="2" s="1"/>
  <c r="V13" i="2" s="1"/>
  <c r="K12" i="2"/>
  <c r="S12" i="2" s="1"/>
  <c r="AA12" i="2" s="1"/>
  <c r="H12" i="2"/>
  <c r="G12" i="2"/>
  <c r="F12" i="2"/>
  <c r="N12" i="2" s="1"/>
  <c r="V12" i="2" s="1"/>
  <c r="K11" i="2"/>
  <c r="S11" i="2" s="1"/>
  <c r="AA11" i="2" s="1"/>
  <c r="H11" i="2"/>
  <c r="G11" i="2"/>
  <c r="O11" i="2" s="1"/>
  <c r="W11" i="2" s="1"/>
  <c r="AC11" i="2" s="1"/>
  <c r="F11" i="2"/>
  <c r="N11" i="2" s="1"/>
  <c r="V11" i="2" s="1"/>
  <c r="K10" i="2"/>
  <c r="S10" i="2" s="1"/>
  <c r="AA10" i="2" s="1"/>
  <c r="H10" i="2"/>
  <c r="G10" i="2"/>
  <c r="I10" i="2" s="1"/>
  <c r="Q10" i="2" s="1"/>
  <c r="Y10" i="2" s="1"/>
  <c r="F10" i="2"/>
  <c r="N10" i="2" s="1"/>
  <c r="V10" i="2" s="1"/>
  <c r="K9" i="2"/>
  <c r="S9" i="2" s="1"/>
  <c r="AA9" i="2" s="1"/>
  <c r="H9" i="2"/>
  <c r="G9" i="2"/>
  <c r="I9" i="2" s="1"/>
  <c r="Q9" i="2" s="1"/>
  <c r="Y9" i="2" s="1"/>
  <c r="F9" i="2"/>
  <c r="N9" i="2" s="1"/>
  <c r="V9" i="2" s="1"/>
  <c r="K8" i="2"/>
  <c r="S8" i="2" s="1"/>
  <c r="AA8" i="2" s="1"/>
  <c r="H8" i="2"/>
  <c r="J8" i="2" s="1"/>
  <c r="R8" i="2" s="1"/>
  <c r="Z8" i="2" s="1"/>
  <c r="G8" i="2"/>
  <c r="O8" i="2" s="1"/>
  <c r="W8" i="2" s="1"/>
  <c r="F8" i="2"/>
  <c r="N8" i="2" s="1"/>
  <c r="V8" i="2" s="1"/>
  <c r="K7" i="2"/>
  <c r="S7" i="2" s="1"/>
  <c r="AA7" i="2" s="1"/>
  <c r="H7" i="2"/>
  <c r="J7" i="2" s="1"/>
  <c r="R7" i="2" s="1"/>
  <c r="Z7" i="2" s="1"/>
  <c r="G7" i="2"/>
  <c r="F7" i="2"/>
  <c r="N7" i="2" s="1"/>
  <c r="V7" i="2" s="1"/>
  <c r="K6" i="2"/>
  <c r="S6" i="2" s="1"/>
  <c r="AA6" i="2" s="1"/>
  <c r="H6" i="2"/>
  <c r="J6" i="2" s="1"/>
  <c r="R6" i="2" s="1"/>
  <c r="Z6" i="2" s="1"/>
  <c r="G6" i="2"/>
  <c r="I6" i="2" s="1"/>
  <c r="Q6" i="2" s="1"/>
  <c r="Y6" i="2" s="1"/>
  <c r="F6" i="2"/>
  <c r="N6" i="2" s="1"/>
  <c r="V6" i="2" s="1"/>
  <c r="K5" i="2"/>
  <c r="S5" i="2" s="1"/>
  <c r="AA5" i="2" s="1"/>
  <c r="AE5" i="2" s="1"/>
  <c r="H5" i="2"/>
  <c r="J5" i="2" s="1"/>
  <c r="R5" i="2" s="1"/>
  <c r="Z5" i="2" s="1"/>
  <c r="G5" i="2"/>
  <c r="F5" i="2"/>
  <c r="N5" i="2" s="1"/>
  <c r="V5" i="2" s="1"/>
  <c r="K4" i="2"/>
  <c r="S4" i="2" s="1"/>
  <c r="AA4" i="2" s="1"/>
  <c r="H4" i="2"/>
  <c r="J4" i="2" s="1"/>
  <c r="R4" i="2" s="1"/>
  <c r="Z4" i="2" s="1"/>
  <c r="G4" i="2"/>
  <c r="I4" i="2" s="1"/>
  <c r="Q4" i="2" s="1"/>
  <c r="Y4" i="2" s="1"/>
  <c r="F4" i="2"/>
  <c r="N4" i="2" s="1"/>
  <c r="V4" i="2" s="1"/>
  <c r="K3" i="2"/>
  <c r="H3" i="2"/>
  <c r="J3" i="2" s="1"/>
  <c r="R3" i="2" s="1"/>
  <c r="Z3" i="2" s="1"/>
  <c r="G3" i="2"/>
  <c r="F3" i="2"/>
  <c r="N3" i="2" s="1"/>
  <c r="V3" i="2" s="1"/>
  <c r="M58" i="4" l="1"/>
  <c r="M42" i="4"/>
  <c r="M2" i="4"/>
  <c r="M36" i="4"/>
  <c r="M28" i="4"/>
  <c r="H5" i="4"/>
  <c r="N5" i="4" s="1"/>
  <c r="N52" i="4"/>
  <c r="N4" i="4"/>
  <c r="N12" i="4"/>
  <c r="H20" i="4"/>
  <c r="N20" i="4" s="1"/>
  <c r="H24" i="4"/>
  <c r="N24" i="4" s="1"/>
  <c r="O24" i="4" s="1"/>
  <c r="H55" i="4"/>
  <c r="N55" i="4" s="1"/>
  <c r="H47" i="4"/>
  <c r="N47" i="4" s="1"/>
  <c r="H39" i="4"/>
  <c r="N39" i="4" s="1"/>
  <c r="H31" i="4"/>
  <c r="N31" i="4" s="1"/>
  <c r="H23" i="4"/>
  <c r="N23" i="4" s="1"/>
  <c r="H15" i="4"/>
  <c r="N15" i="4" s="1"/>
  <c r="H7" i="4"/>
  <c r="N7" i="4" s="1"/>
  <c r="H32" i="4"/>
  <c r="N32" i="4" s="1"/>
  <c r="H54" i="4"/>
  <c r="N54" i="4" s="1"/>
  <c r="H46" i="4"/>
  <c r="N46" i="4" s="1"/>
  <c r="H38" i="4"/>
  <c r="N38" i="4" s="1"/>
  <c r="H22" i="4"/>
  <c r="H14" i="4"/>
  <c r="N14" i="4" s="1"/>
  <c r="H6" i="4"/>
  <c r="N6" i="4" s="1"/>
  <c r="N50" i="4"/>
  <c r="N22" i="4"/>
  <c r="N45" i="4"/>
  <c r="M51" i="4"/>
  <c r="M59" i="4"/>
  <c r="H42" i="4"/>
  <c r="N42" i="4" s="1"/>
  <c r="O42" i="4" s="1"/>
  <c r="H18" i="4"/>
  <c r="H10" i="4"/>
  <c r="N36" i="4"/>
  <c r="N28" i="4"/>
  <c r="H53" i="4"/>
  <c r="H29" i="4"/>
  <c r="H58" i="4"/>
  <c r="H34" i="4"/>
  <c r="H26" i="4"/>
  <c r="H45" i="4"/>
  <c r="H21" i="4"/>
  <c r="H59" i="4"/>
  <c r="H51" i="4"/>
  <c r="H37" i="4"/>
  <c r="H13" i="4"/>
  <c r="H48" i="4"/>
  <c r="H40" i="4"/>
  <c r="H16" i="4"/>
  <c r="H8" i="4"/>
  <c r="H56" i="4"/>
  <c r="N56" i="4" s="1"/>
  <c r="H27" i="4"/>
  <c r="H19" i="4"/>
  <c r="H43" i="4"/>
  <c r="H30" i="4"/>
  <c r="N30" i="4" s="1"/>
  <c r="H35" i="4"/>
  <c r="N35" i="4" s="1"/>
  <c r="H11" i="4"/>
  <c r="H3" i="4"/>
  <c r="N3" i="4" s="1"/>
  <c r="M4" i="4"/>
  <c r="M12" i="4"/>
  <c r="M33" i="4"/>
  <c r="M35" i="4"/>
  <c r="M5" i="4"/>
  <c r="M44" i="4"/>
  <c r="M52" i="4"/>
  <c r="O52" i="4" s="1"/>
  <c r="M6" i="4"/>
  <c r="M13" i="4"/>
  <c r="M43" i="4"/>
  <c r="M21" i="4"/>
  <c r="M24" i="4"/>
  <c r="M41" i="4"/>
  <c r="M10" i="4"/>
  <c r="M17" i="4"/>
  <c r="M22" i="4"/>
  <c r="M29" i="4"/>
  <c r="M49" i="4"/>
  <c r="M8" i="4"/>
  <c r="M20" i="4"/>
  <c r="M30" i="4"/>
  <c r="M50" i="4"/>
  <c r="M45" i="4"/>
  <c r="M14" i="4"/>
  <c r="M57" i="4"/>
  <c r="M48" i="4"/>
  <c r="M56" i="4"/>
  <c r="M3" i="4"/>
  <c r="M11" i="4"/>
  <c r="M9" i="4"/>
  <c r="M25" i="4"/>
  <c r="M16" i="4"/>
  <c r="M32" i="4"/>
  <c r="M40" i="4"/>
  <c r="M7" i="4"/>
  <c r="M15" i="4"/>
  <c r="M23" i="4"/>
  <c r="M31" i="4"/>
  <c r="M39" i="4"/>
  <c r="M47" i="4"/>
  <c r="M55" i="4"/>
  <c r="M19" i="4"/>
  <c r="M38" i="4"/>
  <c r="M46" i="4"/>
  <c r="M54" i="4"/>
  <c r="M53" i="4"/>
  <c r="M27" i="4"/>
  <c r="M18" i="4"/>
  <c r="M26" i="4"/>
  <c r="M34" i="4"/>
  <c r="N34" i="3"/>
  <c r="N39" i="3"/>
  <c r="N37" i="3"/>
  <c r="N52" i="3"/>
  <c r="M41" i="3"/>
  <c r="N41" i="3" s="1"/>
  <c r="M2" i="3"/>
  <c r="L6" i="3"/>
  <c r="M6" i="3"/>
  <c r="M58" i="3"/>
  <c r="N58" i="3" s="1"/>
  <c r="L49" i="3"/>
  <c r="N49" i="3" s="1"/>
  <c r="M44" i="3"/>
  <c r="N44" i="3" s="1"/>
  <c r="M57" i="3"/>
  <c r="N57" i="3" s="1"/>
  <c r="N38" i="3"/>
  <c r="M52" i="3"/>
  <c r="L50" i="3"/>
  <c r="N50" i="3" s="1"/>
  <c r="L40" i="3"/>
  <c r="N40" i="3" s="1"/>
  <c r="M35" i="3"/>
  <c r="N35" i="3" s="1"/>
  <c r="N51" i="3"/>
  <c r="N55" i="3"/>
  <c r="M54" i="3"/>
  <c r="N54" i="3" s="1"/>
  <c r="M45" i="3"/>
  <c r="N45" i="3" s="1"/>
  <c r="M42" i="3"/>
  <c r="M37" i="3"/>
  <c r="N43" i="3"/>
  <c r="N46" i="3"/>
  <c r="N42" i="3"/>
  <c r="N59" i="3"/>
  <c r="M7" i="3"/>
  <c r="L17" i="3"/>
  <c r="L2" i="3"/>
  <c r="N2" i="3" s="1"/>
  <c r="L4" i="3"/>
  <c r="L20" i="3"/>
  <c r="L16" i="3"/>
  <c r="L12" i="3"/>
  <c r="L29" i="3"/>
  <c r="M24" i="3"/>
  <c r="L15" i="3"/>
  <c r="L28" i="3"/>
  <c r="L21" i="3"/>
  <c r="L7" i="3"/>
  <c r="N7" i="3" s="1"/>
  <c r="L31" i="3"/>
  <c r="L24" i="3"/>
  <c r="N24" i="3" s="1"/>
  <c r="N6" i="3"/>
  <c r="L10" i="3"/>
  <c r="M32" i="3"/>
  <c r="L3" i="3"/>
  <c r="N3" i="3" s="1"/>
  <c r="M20" i="3"/>
  <c r="M31" i="3"/>
  <c r="L5" i="3"/>
  <c r="M4" i="3"/>
  <c r="N4" i="3" s="1"/>
  <c r="L32" i="3"/>
  <c r="M27" i="3"/>
  <c r="L19" i="3"/>
  <c r="L8" i="3"/>
  <c r="M10" i="3"/>
  <c r="N10" i="3" s="1"/>
  <c r="L11" i="3"/>
  <c r="L27" i="3"/>
  <c r="M22" i="3"/>
  <c r="M11" i="3"/>
  <c r="M23" i="3"/>
  <c r="N23" i="3" s="1"/>
  <c r="M18" i="3"/>
  <c r="M13" i="3"/>
  <c r="M33" i="3"/>
  <c r="M16" i="3"/>
  <c r="M12" i="3"/>
  <c r="M19" i="3"/>
  <c r="N19" i="3" s="1"/>
  <c r="M14" i="3"/>
  <c r="M26" i="3"/>
  <c r="M30" i="3"/>
  <c r="M9" i="3"/>
  <c r="N28" i="3"/>
  <c r="M25" i="3"/>
  <c r="M15" i="3"/>
  <c r="N15" i="3" s="1"/>
  <c r="L33" i="3"/>
  <c r="L25" i="3"/>
  <c r="L13" i="3"/>
  <c r="L9" i="3"/>
  <c r="L30" i="3"/>
  <c r="L26" i="3"/>
  <c r="L22" i="3"/>
  <c r="L18" i="3"/>
  <c r="L14" i="3"/>
  <c r="M8" i="3"/>
  <c r="M29" i="3"/>
  <c r="M21" i="3"/>
  <c r="M17" i="3"/>
  <c r="N17" i="3" s="1"/>
  <c r="M5" i="3"/>
  <c r="AE3" i="2"/>
  <c r="AC31" i="2"/>
  <c r="AE17" i="2"/>
  <c r="AE25" i="2"/>
  <c r="AE4" i="2"/>
  <c r="AE6" i="2"/>
  <c r="AE18" i="2"/>
  <c r="AE20" i="2"/>
  <c r="AE22" i="2"/>
  <c r="AE24" i="2"/>
  <c r="AB36" i="2"/>
  <c r="AB33" i="2"/>
  <c r="AB12" i="2"/>
  <c r="AB29" i="2"/>
  <c r="AE7" i="2"/>
  <c r="AE23" i="2"/>
  <c r="AB26" i="2"/>
  <c r="AE15" i="2"/>
  <c r="AE19" i="2"/>
  <c r="AC8" i="2"/>
  <c r="AC26" i="2"/>
  <c r="AB37" i="2"/>
  <c r="AE13" i="2"/>
  <c r="AE21" i="2"/>
  <c r="O30" i="2"/>
  <c r="W30" i="2" s="1"/>
  <c r="AC30" i="2" s="1"/>
  <c r="AE26" i="2"/>
  <c r="AD28" i="2"/>
  <c r="AB30" i="2"/>
  <c r="AB27" i="2"/>
  <c r="AD26" i="2"/>
  <c r="AE39" i="2"/>
  <c r="AD10" i="2"/>
  <c r="AD27" i="2"/>
  <c r="AE8" i="2"/>
  <c r="AB38" i="2"/>
  <c r="AB15" i="2"/>
  <c r="I8" i="2"/>
  <c r="Q8" i="2" s="1"/>
  <c r="Y8" i="2" s="1"/>
  <c r="O41" i="2"/>
  <c r="W41" i="2" s="1"/>
  <c r="AC41" i="2" s="1"/>
  <c r="O39" i="2"/>
  <c r="W39" i="2" s="1"/>
  <c r="AC39" i="2" s="1"/>
  <c r="P37" i="2"/>
  <c r="X37" i="2" s="1"/>
  <c r="AD37" i="2" s="1"/>
  <c r="J38" i="2"/>
  <c r="R38" i="2" s="1"/>
  <c r="Z38" i="2" s="1"/>
  <c r="AE38" i="2" s="1"/>
  <c r="I14" i="2"/>
  <c r="Q14" i="2" s="1"/>
  <c r="Y14" i="2" s="1"/>
  <c r="O14" i="2"/>
  <c r="W14" i="2" s="1"/>
  <c r="AC14" i="2" s="1"/>
  <c r="I16" i="2"/>
  <c r="Q16" i="2" s="1"/>
  <c r="Y16" i="2" s="1"/>
  <c r="O16" i="2"/>
  <c r="W16" i="2" s="1"/>
  <c r="AC16" i="2" s="1"/>
  <c r="I18" i="2"/>
  <c r="Q18" i="2" s="1"/>
  <c r="Y18" i="2" s="1"/>
  <c r="O18" i="2"/>
  <c r="W18" i="2" s="1"/>
  <c r="AC18" i="2" s="1"/>
  <c r="I20" i="2"/>
  <c r="Q20" i="2" s="1"/>
  <c r="Y20" i="2" s="1"/>
  <c r="O20" i="2"/>
  <c r="W20" i="2" s="1"/>
  <c r="AC20" i="2" s="1"/>
  <c r="I23" i="2"/>
  <c r="Q23" i="2" s="1"/>
  <c r="Y23" i="2" s="1"/>
  <c r="O23" i="2"/>
  <c r="W23" i="2" s="1"/>
  <c r="AC23" i="2" s="1"/>
  <c r="I25" i="2"/>
  <c r="Q25" i="2" s="1"/>
  <c r="Y25" i="2" s="1"/>
  <c r="O25" i="2"/>
  <c r="W25" i="2" s="1"/>
  <c r="AC25" i="2" s="1"/>
  <c r="I22" i="2"/>
  <c r="Q22" i="2" s="1"/>
  <c r="Y22" i="2" s="1"/>
  <c r="O22" i="2"/>
  <c r="W22" i="2" s="1"/>
  <c r="AC22" i="2" s="1"/>
  <c r="J10" i="2"/>
  <c r="R10" i="2" s="1"/>
  <c r="Z10" i="2" s="1"/>
  <c r="AE10" i="2" s="1"/>
  <c r="P10" i="2"/>
  <c r="X10" i="2" s="1"/>
  <c r="J12" i="2"/>
  <c r="R12" i="2" s="1"/>
  <c r="Z12" i="2" s="1"/>
  <c r="AE12" i="2" s="1"/>
  <c r="P12" i="2"/>
  <c r="X12" i="2" s="1"/>
  <c r="J14" i="2"/>
  <c r="R14" i="2" s="1"/>
  <c r="Z14" i="2" s="1"/>
  <c r="AE14" i="2" s="1"/>
  <c r="P14" i="2"/>
  <c r="X14" i="2" s="1"/>
  <c r="P16" i="2"/>
  <c r="X16" i="2" s="1"/>
  <c r="J16" i="2"/>
  <c r="R16" i="2" s="1"/>
  <c r="Z16" i="2" s="1"/>
  <c r="AE16" i="2" s="1"/>
  <c r="J27" i="2"/>
  <c r="R27" i="2" s="1"/>
  <c r="Z27" i="2" s="1"/>
  <c r="AE27" i="2" s="1"/>
  <c r="P27" i="2"/>
  <c r="X27" i="2" s="1"/>
  <c r="J29" i="2"/>
  <c r="R29" i="2" s="1"/>
  <c r="Z29" i="2" s="1"/>
  <c r="AE29" i="2" s="1"/>
  <c r="P29" i="2"/>
  <c r="X29" i="2" s="1"/>
  <c r="AD29" i="2" s="1"/>
  <c r="J31" i="2"/>
  <c r="R31" i="2" s="1"/>
  <c r="Z31" i="2" s="1"/>
  <c r="AE31" i="2" s="1"/>
  <c r="P31" i="2"/>
  <c r="X31" i="2" s="1"/>
  <c r="J39" i="2"/>
  <c r="R39" i="2" s="1"/>
  <c r="Z39" i="2" s="1"/>
  <c r="P39" i="2"/>
  <c r="X39" i="2" s="1"/>
  <c r="AD39" i="2" s="1"/>
  <c r="O13" i="2"/>
  <c r="W13" i="2" s="1"/>
  <c r="AC13" i="2" s="1"/>
  <c r="I13" i="2"/>
  <c r="Q13" i="2" s="1"/>
  <c r="Y13" i="2" s="1"/>
  <c r="I12" i="2"/>
  <c r="Q12" i="2" s="1"/>
  <c r="Y12" i="2" s="1"/>
  <c r="O12" i="2"/>
  <c r="W12" i="2" s="1"/>
  <c r="AC12" i="2" s="1"/>
  <c r="I5" i="2"/>
  <c r="Q5" i="2" s="1"/>
  <c r="Y5" i="2" s="1"/>
  <c r="O5" i="2"/>
  <c r="W5" i="2" s="1"/>
  <c r="AC5" i="2" s="1"/>
  <c r="J41" i="2"/>
  <c r="R41" i="2" s="1"/>
  <c r="Z41" i="2" s="1"/>
  <c r="AE41" i="2" s="1"/>
  <c r="P41" i="2"/>
  <c r="X41" i="2" s="1"/>
  <c r="AD41" i="2" s="1"/>
  <c r="J9" i="2"/>
  <c r="R9" i="2" s="1"/>
  <c r="Z9" i="2" s="1"/>
  <c r="AE9" i="2" s="1"/>
  <c r="P9" i="2"/>
  <c r="X9" i="2" s="1"/>
  <c r="AD9" i="2" s="1"/>
  <c r="J11" i="2"/>
  <c r="R11" i="2" s="1"/>
  <c r="Z11" i="2" s="1"/>
  <c r="AE11" i="2" s="1"/>
  <c r="P11" i="2"/>
  <c r="X11" i="2" s="1"/>
  <c r="I32" i="2"/>
  <c r="Q32" i="2" s="1"/>
  <c r="Y32" i="2" s="1"/>
  <c r="O32" i="2"/>
  <c r="W32" i="2" s="1"/>
  <c r="AC32" i="2" s="1"/>
  <c r="I34" i="2"/>
  <c r="Q34" i="2" s="1"/>
  <c r="Y34" i="2" s="1"/>
  <c r="O34" i="2"/>
  <c r="W34" i="2" s="1"/>
  <c r="AC34" i="2" s="1"/>
  <c r="O36" i="2"/>
  <c r="W36" i="2" s="1"/>
  <c r="AC36" i="2" s="1"/>
  <c r="I36" i="2"/>
  <c r="Q36" i="2" s="1"/>
  <c r="Y36" i="2" s="1"/>
  <c r="I38" i="2"/>
  <c r="Q38" i="2" s="1"/>
  <c r="Y38" i="2" s="1"/>
  <c r="AD38" i="2" s="1"/>
  <c r="O38" i="2"/>
  <c r="W38" i="2" s="1"/>
  <c r="AC38" i="2" s="1"/>
  <c r="J40" i="2"/>
  <c r="R40" i="2" s="1"/>
  <c r="Z40" i="2" s="1"/>
  <c r="AE40" i="2" s="1"/>
  <c r="P40" i="2"/>
  <c r="X40" i="2" s="1"/>
  <c r="AD40" i="2" s="1"/>
  <c r="AF40" i="2" s="1"/>
  <c r="I3" i="2"/>
  <c r="Q3" i="2" s="1"/>
  <c r="Y3" i="2" s="1"/>
  <c r="O3" i="2"/>
  <c r="W3" i="2" s="1"/>
  <c r="AC3" i="2" s="1"/>
  <c r="I7" i="2"/>
  <c r="Q7" i="2" s="1"/>
  <c r="Y7" i="2" s="1"/>
  <c r="O7" i="2"/>
  <c r="W7" i="2" s="1"/>
  <c r="AC7" i="2" s="1"/>
  <c r="J28" i="2"/>
  <c r="R28" i="2" s="1"/>
  <c r="Z28" i="2" s="1"/>
  <c r="AE28" i="2" s="1"/>
  <c r="P28" i="2"/>
  <c r="X28" i="2" s="1"/>
  <c r="J30" i="2"/>
  <c r="R30" i="2" s="1"/>
  <c r="Z30" i="2" s="1"/>
  <c r="AE30" i="2" s="1"/>
  <c r="P30" i="2"/>
  <c r="X30" i="2" s="1"/>
  <c r="AD30" i="2" s="1"/>
  <c r="J32" i="2"/>
  <c r="R32" i="2" s="1"/>
  <c r="Z32" i="2" s="1"/>
  <c r="AE32" i="2" s="1"/>
  <c r="P32" i="2"/>
  <c r="X32" i="2" s="1"/>
  <c r="J34" i="2"/>
  <c r="R34" i="2" s="1"/>
  <c r="Z34" i="2" s="1"/>
  <c r="AE34" i="2" s="1"/>
  <c r="P34" i="2"/>
  <c r="X34" i="2" s="1"/>
  <c r="J36" i="2"/>
  <c r="R36" i="2" s="1"/>
  <c r="Z36" i="2" s="1"/>
  <c r="AE36" i="2" s="1"/>
  <c r="P36" i="2"/>
  <c r="X36" i="2" s="1"/>
  <c r="I11" i="2"/>
  <c r="Q11" i="2" s="1"/>
  <c r="Y11" i="2" s="1"/>
  <c r="AD11" i="2" s="1"/>
  <c r="I31" i="2"/>
  <c r="Q31" i="2" s="1"/>
  <c r="Y31" i="2" s="1"/>
  <c r="AD31" i="2" s="1"/>
  <c r="AF31" i="2" s="1"/>
  <c r="P35" i="2"/>
  <c r="X35" i="2" s="1"/>
  <c r="AD35" i="2" s="1"/>
  <c r="P33" i="2"/>
  <c r="X33" i="2" s="1"/>
  <c r="AD33" i="2" s="1"/>
  <c r="P26" i="2"/>
  <c r="X26" i="2" s="1"/>
  <c r="P25" i="2"/>
  <c r="X25" i="2" s="1"/>
  <c r="P24" i="2"/>
  <c r="X24" i="2" s="1"/>
  <c r="AD24" i="2" s="1"/>
  <c r="P23" i="2"/>
  <c r="X23" i="2" s="1"/>
  <c r="P22" i="2"/>
  <c r="X22" i="2" s="1"/>
  <c r="P21" i="2"/>
  <c r="X21" i="2" s="1"/>
  <c r="AD21" i="2" s="1"/>
  <c r="AF21" i="2" s="1"/>
  <c r="P20" i="2"/>
  <c r="X20" i="2" s="1"/>
  <c r="P19" i="2"/>
  <c r="X19" i="2" s="1"/>
  <c r="AD19" i="2" s="1"/>
  <c r="P18" i="2"/>
  <c r="X18" i="2" s="1"/>
  <c r="P17" i="2"/>
  <c r="X17" i="2" s="1"/>
  <c r="AD17" i="2" s="1"/>
  <c r="P15" i="2"/>
  <c r="X15" i="2" s="1"/>
  <c r="AD15" i="2" s="1"/>
  <c r="P13" i="2"/>
  <c r="X13" i="2" s="1"/>
  <c r="P8" i="2"/>
  <c r="X8" i="2" s="1"/>
  <c r="P7" i="2"/>
  <c r="X7" i="2" s="1"/>
  <c r="P6" i="2"/>
  <c r="X6" i="2" s="1"/>
  <c r="AD6" i="2" s="1"/>
  <c r="P5" i="2"/>
  <c r="X5" i="2" s="1"/>
  <c r="P4" i="2"/>
  <c r="X4" i="2" s="1"/>
  <c r="AD4" i="2" s="1"/>
  <c r="P3" i="2"/>
  <c r="X3" i="2" s="1"/>
  <c r="O40" i="2"/>
  <c r="W40" i="2" s="1"/>
  <c r="AC40" i="2" s="1"/>
  <c r="O37" i="2"/>
  <c r="W37" i="2" s="1"/>
  <c r="AC37" i="2" s="1"/>
  <c r="O35" i="2"/>
  <c r="W35" i="2" s="1"/>
  <c r="AC35" i="2" s="1"/>
  <c r="O33" i="2"/>
  <c r="W33" i="2" s="1"/>
  <c r="AC33" i="2" s="1"/>
  <c r="AF33" i="2" s="1"/>
  <c r="O29" i="2"/>
  <c r="W29" i="2" s="1"/>
  <c r="AC29" i="2" s="1"/>
  <c r="O28" i="2"/>
  <c r="W28" i="2" s="1"/>
  <c r="AC28" i="2" s="1"/>
  <c r="O27" i="2"/>
  <c r="W27" i="2" s="1"/>
  <c r="AC27" i="2" s="1"/>
  <c r="O24" i="2"/>
  <c r="W24" i="2" s="1"/>
  <c r="AC24" i="2" s="1"/>
  <c r="O21" i="2"/>
  <c r="W21" i="2" s="1"/>
  <c r="AC21" i="2" s="1"/>
  <c r="O19" i="2"/>
  <c r="W19" i="2" s="1"/>
  <c r="AC19" i="2" s="1"/>
  <c r="O17" i="2"/>
  <c r="W17" i="2" s="1"/>
  <c r="AC17" i="2" s="1"/>
  <c r="AF17" i="2" s="1"/>
  <c r="O15" i="2"/>
  <c r="W15" i="2" s="1"/>
  <c r="AC15" i="2" s="1"/>
  <c r="O10" i="2"/>
  <c r="W10" i="2" s="1"/>
  <c r="AC10" i="2" s="1"/>
  <c r="O9" i="2"/>
  <c r="W9" i="2" s="1"/>
  <c r="AC9" i="2" s="1"/>
  <c r="O6" i="2"/>
  <c r="W6" i="2" s="1"/>
  <c r="AC6" i="2" s="1"/>
  <c r="O4" i="2"/>
  <c r="W4" i="2" s="1"/>
  <c r="AC4" i="2" s="1"/>
  <c r="O5" i="4" l="1"/>
  <c r="O28" i="4"/>
  <c r="O36" i="4"/>
  <c r="O6" i="4"/>
  <c r="O4" i="4"/>
  <c r="O12" i="4"/>
  <c r="O50" i="4"/>
  <c r="O20" i="4"/>
  <c r="O22" i="4"/>
  <c r="H9" i="4"/>
  <c r="N9" i="4" s="1"/>
  <c r="O9" i="4" s="1"/>
  <c r="H17" i="4"/>
  <c r="N17" i="4" s="1"/>
  <c r="O17" i="4" s="1"/>
  <c r="N34" i="4"/>
  <c r="O34" i="4" s="1"/>
  <c r="N18" i="4"/>
  <c r="O18" i="4" s="1"/>
  <c r="H25" i="4"/>
  <c r="N25" i="4" s="1"/>
  <c r="O25" i="4" s="1"/>
  <c r="N40" i="4"/>
  <c r="O40" i="4" s="1"/>
  <c r="N10" i="4"/>
  <c r="O10" i="4" s="1"/>
  <c r="H33" i="4"/>
  <c r="N33" i="4" s="1"/>
  <c r="O33" i="4" s="1"/>
  <c r="N26" i="4"/>
  <c r="O26" i="4" s="1"/>
  <c r="N43" i="4"/>
  <c r="O43" i="4" s="1"/>
  <c r="N53" i="4"/>
  <c r="O53" i="4" s="1"/>
  <c r="H41" i="4"/>
  <c r="N41" i="4" s="1"/>
  <c r="O41" i="4" s="1"/>
  <c r="H49" i="4"/>
  <c r="N49" i="4" s="1"/>
  <c r="O49" i="4" s="1"/>
  <c r="N37" i="4"/>
  <c r="O37" i="4" s="1"/>
  <c r="N48" i="4"/>
  <c r="O48" i="4" s="1"/>
  <c r="N27" i="4"/>
  <c r="O27" i="4" s="1"/>
  <c r="N29" i="4"/>
  <c r="O29" i="4" s="1"/>
  <c r="N51" i="4"/>
  <c r="O51" i="4" s="1"/>
  <c r="H57" i="4"/>
  <c r="N57" i="4" s="1"/>
  <c r="O57" i="4" s="1"/>
  <c r="N58" i="4"/>
  <c r="O58" i="4" s="1"/>
  <c r="N16" i="4"/>
  <c r="O16" i="4" s="1"/>
  <c r="N19" i="4"/>
  <c r="O19" i="4" s="1"/>
  <c r="N21" i="4"/>
  <c r="O21" i="4" s="1"/>
  <c r="N59" i="4"/>
  <c r="O59" i="4" s="1"/>
  <c r="N8" i="4"/>
  <c r="O8" i="4" s="1"/>
  <c r="N11" i="4"/>
  <c r="O11" i="4" s="1"/>
  <c r="N13" i="4"/>
  <c r="O13" i="4" s="1"/>
  <c r="O44" i="4"/>
  <c r="O23" i="4"/>
  <c r="O45" i="4"/>
  <c r="O54" i="4"/>
  <c r="O35" i="4"/>
  <c r="O30" i="4"/>
  <c r="O3" i="4"/>
  <c r="O2" i="4"/>
  <c r="O38" i="4"/>
  <c r="O47" i="4"/>
  <c r="O39" i="4"/>
  <c r="O32" i="4"/>
  <c r="O56" i="4"/>
  <c r="O14" i="4"/>
  <c r="O55" i="4"/>
  <c r="O31" i="4"/>
  <c r="O7" i="4"/>
  <c r="O15" i="4"/>
  <c r="O46" i="4"/>
  <c r="N21" i="3"/>
  <c r="N12" i="3"/>
  <c r="N20" i="3"/>
  <c r="N32" i="3"/>
  <c r="N22" i="3"/>
  <c r="N31" i="3"/>
  <c r="N29" i="3"/>
  <c r="N16" i="3"/>
  <c r="N11" i="3"/>
  <c r="N27" i="3"/>
  <c r="N5" i="3"/>
  <c r="N8" i="3"/>
  <c r="N13" i="3"/>
  <c r="N25" i="3"/>
  <c r="N9" i="3"/>
  <c r="N33" i="3"/>
  <c r="N18" i="3"/>
  <c r="N30" i="3"/>
  <c r="N14" i="3"/>
  <c r="N26" i="3"/>
  <c r="AF10" i="2"/>
  <c r="AD22" i="2"/>
  <c r="AF22" i="2" s="1"/>
  <c r="AD12" i="2"/>
  <c r="AF12" i="2" s="1"/>
  <c r="AD23" i="2"/>
  <c r="AF23" i="2" s="1"/>
  <c r="AF4" i="2"/>
  <c r="AD36" i="2"/>
  <c r="AD13" i="2"/>
  <c r="AF13" i="2" s="1"/>
  <c r="AF6" i="2"/>
  <c r="AD7" i="2"/>
  <c r="AF7" i="2" s="1"/>
  <c r="AF37" i="2"/>
  <c r="AF35" i="2"/>
  <c r="AF15" i="2"/>
  <c r="AF29" i="2"/>
  <c r="AD14" i="2"/>
  <c r="AF19" i="2"/>
  <c r="AF36" i="2"/>
  <c r="AF41" i="2"/>
  <c r="AF24" i="2"/>
  <c r="AF28" i="2"/>
  <c r="AF39" i="2"/>
  <c r="AF30" i="2"/>
  <c r="AD20" i="2"/>
  <c r="AF20" i="2" s="1"/>
  <c r="AF38" i="2"/>
  <c r="AF9" i="2"/>
  <c r="AF26" i="2"/>
  <c r="AD3" i="2"/>
  <c r="AF3" i="2" s="1"/>
  <c r="AD34" i="2"/>
  <c r="AF34" i="2" s="1"/>
  <c r="AD18" i="2"/>
  <c r="AF18" i="2" s="1"/>
  <c r="AD8" i="2"/>
  <c r="AF8" i="2" s="1"/>
  <c r="AD5" i="2"/>
  <c r="AF5" i="2" s="1"/>
  <c r="AF14" i="2"/>
  <c r="AF11" i="2"/>
  <c r="AD32" i="2"/>
  <c r="AF32" i="2" s="1"/>
  <c r="AD25" i="2"/>
  <c r="AF25" i="2" s="1"/>
  <c r="AD16" i="2"/>
  <c r="AF16" i="2" s="1"/>
  <c r="AF27" i="2"/>
</calcChain>
</file>

<file path=xl/sharedStrings.xml><?xml version="1.0" encoding="utf-8"?>
<sst xmlns="http://schemas.openxmlformats.org/spreadsheetml/2006/main" count="436" uniqueCount="213">
  <si>
    <t>Name</t>
  </si>
  <si>
    <t>Type</t>
  </si>
  <si>
    <t>Center Lat</t>
  </si>
  <si>
    <t>Center Lon</t>
  </si>
  <si>
    <t>Radius</t>
  </si>
  <si>
    <t>Percent_Lat</t>
  </si>
  <si>
    <t>Percent_Lon</t>
  </si>
  <si>
    <t>Littleroot Town</t>
  </si>
  <si>
    <t>City/Town</t>
  </si>
  <si>
    <t>small</t>
  </si>
  <si>
    <t>Oldale Town</t>
  </si>
  <si>
    <t>Petalburg City</t>
  </si>
  <si>
    <t>Rustboro City</t>
  </si>
  <si>
    <t>Dewford Town</t>
  </si>
  <si>
    <t>Slateport City</t>
  </si>
  <si>
    <t>Mauville City</t>
  </si>
  <si>
    <t>Verdanturf City</t>
  </si>
  <si>
    <t>Lavaridge Town</t>
  </si>
  <si>
    <t>Fallarbor Town</t>
  </si>
  <si>
    <t>Fortree City</t>
  </si>
  <si>
    <t>Lilycove City</t>
  </si>
  <si>
    <t>Mossdeep City</t>
  </si>
  <si>
    <t>Sootopolis City</t>
  </si>
  <si>
    <t>Pacifidlog Town</t>
  </si>
  <si>
    <t>Ever Grande City</t>
  </si>
  <si>
    <t>Petalburg Woods</t>
  </si>
  <si>
    <t>Place</t>
  </si>
  <si>
    <t>Granite Cave</t>
  </si>
  <si>
    <t>Rusturf Tunnel 1</t>
  </si>
  <si>
    <t>Rusturf Tunnel 2</t>
  </si>
  <si>
    <t>Fiery Path 1</t>
  </si>
  <si>
    <t>Fiery Path 2</t>
  </si>
  <si>
    <t>Meteor Falls 1</t>
  </si>
  <si>
    <t>Meteor Falls 2</t>
  </si>
  <si>
    <t>Magma/Aqua Hideout</t>
  </si>
  <si>
    <t>Shoal Cave</t>
  </si>
  <si>
    <t>Sky Pillar</t>
  </si>
  <si>
    <t>medium</t>
  </si>
  <si>
    <t>Victory Road</t>
  </si>
  <si>
    <t>Formula</t>
  </si>
  <si>
    <t>Location</t>
  </si>
  <si>
    <t>Route 101</t>
  </si>
  <si>
    <t>Route 102</t>
  </si>
  <si>
    <t>Route 104 - 1</t>
  </si>
  <si>
    <t>Route 104 - 2</t>
  </si>
  <si>
    <t>Route 115</t>
  </si>
  <si>
    <t>Route 116</t>
  </si>
  <si>
    <t>Route 103 - 1</t>
  </si>
  <si>
    <t>Route 103 - 2</t>
  </si>
  <si>
    <t>Route 110</t>
  </si>
  <si>
    <t>Route 109</t>
  </si>
  <si>
    <t>Route 108</t>
  </si>
  <si>
    <t>Route 107</t>
  </si>
  <si>
    <t>Route 106 - 1</t>
  </si>
  <si>
    <t>Route 106 - 2</t>
  </si>
  <si>
    <t>Route 105</t>
  </si>
  <si>
    <t>Route 117</t>
  </si>
  <si>
    <t>Route 111</t>
  </si>
  <si>
    <t>Route 112 - 1</t>
  </si>
  <si>
    <t>Route 112 - 2</t>
  </si>
  <si>
    <t>Jagged Pass</t>
  </si>
  <si>
    <t>Mt. Chimney</t>
  </si>
  <si>
    <t>Route 113</t>
  </si>
  <si>
    <t>Route 114</t>
  </si>
  <si>
    <t>Route 118</t>
  </si>
  <si>
    <t>Route 123</t>
  </si>
  <si>
    <t>Route 119</t>
  </si>
  <si>
    <t>Route 120</t>
  </si>
  <si>
    <t>Route 121</t>
  </si>
  <si>
    <t>Route 122</t>
  </si>
  <si>
    <t>Route 124</t>
  </si>
  <si>
    <t>Route 125</t>
  </si>
  <si>
    <t>Route 126</t>
  </si>
  <si>
    <t>Route 127</t>
  </si>
  <si>
    <t>Route 128</t>
  </si>
  <si>
    <t>Route 129</t>
  </si>
  <si>
    <t>Route 130</t>
  </si>
  <si>
    <t>Route 131</t>
  </si>
  <si>
    <t>Route 132</t>
  </si>
  <si>
    <t>Route 133</t>
  </si>
  <si>
    <t>Route 134</t>
  </si>
  <si>
    <t>x_size</t>
  </si>
  <si>
    <t>y_size</t>
  </si>
  <si>
    <t>TL_X</t>
  </si>
  <si>
    <t>TL_Y</t>
  </si>
  <si>
    <t>BL_X</t>
  </si>
  <si>
    <t>BL_Y</t>
  </si>
  <si>
    <t>BR_X</t>
  </si>
  <si>
    <t>BR_Y</t>
  </si>
  <si>
    <t>TR_X</t>
  </si>
  <si>
    <t>TR_Y</t>
  </si>
  <si>
    <t>TL_Coord</t>
  </si>
  <si>
    <t>BL_Coord</t>
  </si>
  <si>
    <t>BR_Coord</t>
  </si>
  <si>
    <t>TR_Coord</t>
  </si>
  <si>
    <t>Full_Coord</t>
  </si>
  <si>
    <t>GIMP COORDINATES (in 800x1200)</t>
  </si>
  <si>
    <t>LEAFLET COORDINATES (in 800 x 1200)</t>
  </si>
  <si>
    <t>PERCENT COORDINATES (dynamic)</t>
  </si>
  <si>
    <t>Mt. Pyre</t>
  </si>
  <si>
    <t>large</t>
  </si>
  <si>
    <t>Safari Zone</t>
  </si>
  <si>
    <t>Pokemon</t>
  </si>
  <si>
    <t>Treecko</t>
  </si>
  <si>
    <t>Torchic</t>
  </si>
  <si>
    <t>Mudkip</t>
  </si>
  <si>
    <t>Area</t>
  </si>
  <si>
    <t>Lat (800)</t>
  </si>
  <si>
    <t>Lon (1200)</t>
  </si>
  <si>
    <t>Littleroot</t>
  </si>
  <si>
    <t>Rayquaza</t>
  </si>
  <si>
    <t>Latios</t>
  </si>
  <si>
    <t>Latias</t>
  </si>
  <si>
    <t>Southern Isles</t>
  </si>
  <si>
    <t>Percent Lat</t>
  </si>
  <si>
    <t>Percent Lon</t>
  </si>
  <si>
    <t>image_x</t>
  </si>
  <si>
    <t>image_y</t>
  </si>
  <si>
    <t>ratio</t>
  </si>
  <si>
    <t>newHeight</t>
  </si>
  <si>
    <t>newWidth</t>
  </si>
  <si>
    <t>Wingull_1</t>
  </si>
  <si>
    <t>Wingull_2</t>
  </si>
  <si>
    <t>Wingull_3</t>
  </si>
  <si>
    <t>Wingull_4</t>
  </si>
  <si>
    <t>Wingull_5</t>
  </si>
  <si>
    <t>Wingull_6</t>
  </si>
  <si>
    <t>West Petalburg</t>
  </si>
  <si>
    <t>South Slateport</t>
  </si>
  <si>
    <t>East Lilycove</t>
  </si>
  <si>
    <t>Pacifidlog</t>
  </si>
  <si>
    <t>West EverGrande</t>
  </si>
  <si>
    <t>Northwest Rustboro</t>
  </si>
  <si>
    <t>Duskull</t>
  </si>
  <si>
    <t>Shuppet</t>
  </si>
  <si>
    <t>Mt Pyre</t>
  </si>
  <si>
    <t>Torkoal</t>
  </si>
  <si>
    <t>Mt Chimney</t>
  </si>
  <si>
    <t>Meditite</t>
  </si>
  <si>
    <t>Carvanha_1</t>
  </si>
  <si>
    <t>Carvanha_2</t>
  </si>
  <si>
    <t>East Mauville</t>
  </si>
  <si>
    <t>North Oldale</t>
  </si>
  <si>
    <t>Sharpedo</t>
  </si>
  <si>
    <t>Southwest EverGrande</t>
  </si>
  <si>
    <t>Cacnea</t>
  </si>
  <si>
    <t>Desert</t>
  </si>
  <si>
    <t>Trapinch</t>
  </si>
  <si>
    <t>Absol</t>
  </si>
  <si>
    <t>Southeast Fortree</t>
  </si>
  <si>
    <t>Oddish</t>
  </si>
  <si>
    <t>East Fortree</t>
  </si>
  <si>
    <t>Mightyena</t>
  </si>
  <si>
    <t>South Fortree</t>
  </si>
  <si>
    <t>Linoone</t>
  </si>
  <si>
    <t>Tropius</t>
  </si>
  <si>
    <t>West Fortree</t>
  </si>
  <si>
    <t>Skarmory</t>
  </si>
  <si>
    <t>East Fallarbor</t>
  </si>
  <si>
    <t>Barboach</t>
  </si>
  <si>
    <t>West Fallarbor</t>
  </si>
  <si>
    <t>Lombre</t>
  </si>
  <si>
    <t>Wurmple</t>
  </si>
  <si>
    <t>Slakoth</t>
  </si>
  <si>
    <t>Swellow</t>
  </si>
  <si>
    <t>South Verdanturf</t>
  </si>
  <si>
    <t>Bounds_Normal</t>
  </si>
  <si>
    <t>Bounds_1_Normal</t>
  </si>
  <si>
    <t>Bounds_2_Normal</t>
  </si>
  <si>
    <t>Numel</t>
  </si>
  <si>
    <t>East Lavaridge</t>
  </si>
  <si>
    <t>Marill</t>
  </si>
  <si>
    <t>North Mauville</t>
  </si>
  <si>
    <t>Volbeat</t>
  </si>
  <si>
    <t>Illumise</t>
  </si>
  <si>
    <t>West Mauville</t>
  </si>
  <si>
    <t>Geodude</t>
  </si>
  <si>
    <t>Feebas</t>
  </si>
  <si>
    <t>Kecleon</t>
  </si>
  <si>
    <t>Electrike</t>
  </si>
  <si>
    <t>Taillow</t>
  </si>
  <si>
    <t>West Rustboro</t>
  </si>
  <si>
    <t>Ralts</t>
  </si>
  <si>
    <t>East Petalburg</t>
  </si>
  <si>
    <t>Seedot</t>
  </si>
  <si>
    <t>Zigzagoon</t>
  </si>
  <si>
    <t>Poochyena</t>
  </si>
  <si>
    <t>Nosepass</t>
  </si>
  <si>
    <t>Dewford</t>
  </si>
  <si>
    <t>Corsola</t>
  </si>
  <si>
    <t>South EverGrande</t>
  </si>
  <si>
    <t>Sealeo</t>
  </si>
  <si>
    <t>North Mossdeep</t>
  </si>
  <si>
    <t>Beldum</t>
  </si>
  <si>
    <t>Mossdeep</t>
  </si>
  <si>
    <t>Clamperl</t>
  </si>
  <si>
    <t>Northwest Sootopolis</t>
  </si>
  <si>
    <t>Relicanth</t>
  </si>
  <si>
    <t>South Sootopolis</t>
  </si>
  <si>
    <t>Chinchou</t>
  </si>
  <si>
    <t>Sootopolis</t>
  </si>
  <si>
    <t>Luvdisc</t>
  </si>
  <si>
    <t>East Sootopolis</t>
  </si>
  <si>
    <t>Pelipper</t>
  </si>
  <si>
    <t>East Slateport</t>
  </si>
  <si>
    <t>Tentacool_1</t>
  </si>
  <si>
    <t>Tentacool_2</t>
  </si>
  <si>
    <t>South Pacifidlog</t>
  </si>
  <si>
    <t>North Pacifidlog</t>
  </si>
  <si>
    <t>Tentacruel</t>
  </si>
  <si>
    <t>Southwest EvergGrande</t>
  </si>
  <si>
    <t>Hariyama</t>
  </si>
  <si>
    <t>desired_area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</si>
</sst>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89407-8952-2840-82DF-A301FE257C5F}">
  <dimension ref="A1:H32"/>
  <sheetViews>
    <sheetView workbookViewId="0">
      <selection activeCell="D5" sqref="D5"/>
    </sheetView>
  </sheetViews>
  <sheetFormatPr baseColWidth="10" defaultRowHeight="16" x14ac:dyDescent="0.2"/>
  <cols>
    <col min="1" max="1" width="11.33203125" customWidth="1"/>
    <col min="2" max="7" width="10.83203125" customWidth="1"/>
    <col min="8" max="8" width="57.332031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39</v>
      </c>
    </row>
    <row r="2" spans="1:8" x14ac:dyDescent="0.2">
      <c r="A2" t="s">
        <v>7</v>
      </c>
      <c r="B2" t="s">
        <v>8</v>
      </c>
      <c r="C2">
        <v>233.6166992</v>
      </c>
      <c r="D2">
        <v>238.33251949999999</v>
      </c>
      <c r="E2" t="s">
        <v>9</v>
      </c>
      <c r="F2">
        <v>0.29202087399999999</v>
      </c>
      <c r="G2">
        <v>0.198610433</v>
      </c>
      <c r="H2" t="str">
        <f t="shared" ref="H2:H32" si="0">_xlfn.CONCAT("[", F2, "* imageHeight", ", ", G2, "* imageWidth", "]")</f>
        <v>[0.292020874* imageHeight, 0.198610433* imageWidth]</v>
      </c>
    </row>
    <row r="3" spans="1:8" x14ac:dyDescent="0.2">
      <c r="A3" t="s">
        <v>10</v>
      </c>
      <c r="B3" t="s">
        <v>8</v>
      </c>
      <c r="C3">
        <v>301.46875</v>
      </c>
      <c r="D3">
        <v>241.46875</v>
      </c>
      <c r="E3" t="s">
        <v>9</v>
      </c>
      <c r="F3">
        <v>0.37683593799999998</v>
      </c>
      <c r="G3">
        <v>0.20122395800000001</v>
      </c>
      <c r="H3" t="str">
        <f t="shared" si="0"/>
        <v>[0.376835938* imageHeight, 0.201223958* imageWidth]</v>
      </c>
    </row>
    <row r="4" spans="1:8" x14ac:dyDescent="0.2">
      <c r="A4" t="s">
        <v>11</v>
      </c>
      <c r="B4" t="s">
        <v>8</v>
      </c>
      <c r="C4">
        <v>301.8115234</v>
      </c>
      <c r="D4">
        <v>154.32568359999999</v>
      </c>
      <c r="E4" t="s">
        <v>9</v>
      </c>
      <c r="F4">
        <v>0.377264404</v>
      </c>
      <c r="G4">
        <v>0.128604736</v>
      </c>
      <c r="H4" t="str">
        <f t="shared" si="0"/>
        <v>[0.377264404* imageHeight, 0.128604736* imageWidth]</v>
      </c>
    </row>
    <row r="5" spans="1:8" x14ac:dyDescent="0.2">
      <c r="A5" t="s">
        <v>12</v>
      </c>
      <c r="B5" t="s">
        <v>8</v>
      </c>
      <c r="C5">
        <v>432.25</v>
      </c>
      <c r="D5">
        <v>101.625</v>
      </c>
      <c r="E5" t="s">
        <v>9</v>
      </c>
      <c r="F5">
        <v>0.54031249999999997</v>
      </c>
      <c r="G5">
        <v>8.4687499999999999E-2</v>
      </c>
      <c r="H5" t="str">
        <f t="shared" si="0"/>
        <v>[0.5403125* imageHeight, 0.0846875* imageWidth]</v>
      </c>
    </row>
    <row r="6" spans="1:8" x14ac:dyDescent="0.2">
      <c r="A6" t="s">
        <v>13</v>
      </c>
      <c r="B6" t="s">
        <v>8</v>
      </c>
      <c r="C6">
        <v>75.666748049999995</v>
      </c>
      <c r="D6">
        <v>127.9453125</v>
      </c>
      <c r="E6" t="s">
        <v>9</v>
      </c>
      <c r="F6">
        <v>9.4583434999999993E-2</v>
      </c>
      <c r="G6">
        <v>0.106621094</v>
      </c>
      <c r="H6" t="str">
        <f t="shared" si="0"/>
        <v>[0.094583435* imageHeight, 0.106621094* imageWidth]</v>
      </c>
    </row>
    <row r="7" spans="1:8" x14ac:dyDescent="0.2">
      <c r="A7" t="s">
        <v>14</v>
      </c>
      <c r="B7" t="s">
        <v>8</v>
      </c>
      <c r="C7">
        <v>259.875</v>
      </c>
      <c r="D7">
        <v>359.625</v>
      </c>
      <c r="E7" t="s">
        <v>9</v>
      </c>
      <c r="F7">
        <v>0.32484374999999999</v>
      </c>
      <c r="G7">
        <v>0.2996875</v>
      </c>
      <c r="H7" t="str">
        <f t="shared" si="0"/>
        <v>[0.32484375* imageHeight, 0.2996875* imageWidth]</v>
      </c>
    </row>
    <row r="8" spans="1:8" x14ac:dyDescent="0.2">
      <c r="A8" t="s">
        <v>15</v>
      </c>
      <c r="B8" t="s">
        <v>8</v>
      </c>
      <c r="C8">
        <v>494.75195309999998</v>
      </c>
      <c r="D8">
        <v>377.95458980000001</v>
      </c>
      <c r="E8" t="s">
        <v>9</v>
      </c>
      <c r="F8">
        <v>0.61843994099999999</v>
      </c>
      <c r="G8">
        <v>0.31496215799999999</v>
      </c>
      <c r="H8" t="str">
        <f t="shared" si="0"/>
        <v>[0.618439941* imageHeight, 0.314962158* imageWidth]</v>
      </c>
    </row>
    <row r="9" spans="1:8" x14ac:dyDescent="0.2">
      <c r="A9" t="s">
        <v>16</v>
      </c>
      <c r="B9" t="s">
        <v>8</v>
      </c>
      <c r="C9">
        <v>494.64355469999998</v>
      </c>
      <c r="D9">
        <v>246.7431641</v>
      </c>
      <c r="E9" t="s">
        <v>9</v>
      </c>
      <c r="F9">
        <v>0.61830444299999998</v>
      </c>
      <c r="G9">
        <v>0.205619303</v>
      </c>
      <c r="H9" t="str">
        <f t="shared" si="0"/>
        <v>[0.618304443* imageHeight, 0.205619303* imageWidth]</v>
      </c>
    </row>
    <row r="10" spans="1:8" x14ac:dyDescent="0.2">
      <c r="A10" t="s">
        <v>17</v>
      </c>
      <c r="B10" t="s">
        <v>8</v>
      </c>
      <c r="C10">
        <v>626.85595699999999</v>
      </c>
      <c r="D10">
        <v>287.21289059999998</v>
      </c>
      <c r="E10" t="s">
        <v>9</v>
      </c>
      <c r="F10">
        <v>0.78356994599999996</v>
      </c>
      <c r="G10">
        <v>0.23934407599999999</v>
      </c>
      <c r="H10" t="str">
        <f t="shared" si="0"/>
        <v>[0.783569946* imageHeight, 0.239344076* imageWidth]</v>
      </c>
    </row>
    <row r="11" spans="1:8" x14ac:dyDescent="0.2">
      <c r="A11" t="s">
        <v>18</v>
      </c>
      <c r="B11" t="s">
        <v>8</v>
      </c>
      <c r="C11">
        <v>727.69970699999999</v>
      </c>
      <c r="D11">
        <v>217.61914060000001</v>
      </c>
      <c r="E11" t="s">
        <v>9</v>
      </c>
      <c r="F11">
        <v>0.90962463400000004</v>
      </c>
      <c r="G11">
        <v>0.181349284</v>
      </c>
      <c r="H11" t="str">
        <f t="shared" si="0"/>
        <v>[0.909624634* imageHeight, 0.181349284* imageWidth]</v>
      </c>
    </row>
    <row r="12" spans="1:8" x14ac:dyDescent="0.2">
      <c r="A12" t="s">
        <v>19</v>
      </c>
      <c r="B12" t="s">
        <v>8</v>
      </c>
      <c r="C12">
        <v>706.0625</v>
      </c>
      <c r="D12">
        <v>547.0625</v>
      </c>
      <c r="E12" t="s">
        <v>9</v>
      </c>
      <c r="F12">
        <v>0.88257812499999999</v>
      </c>
      <c r="G12">
        <v>0.45588541700000001</v>
      </c>
      <c r="H12" t="str">
        <f t="shared" si="0"/>
        <v>[0.882578125* imageHeight, 0.455885417* imageWidth]</v>
      </c>
    </row>
    <row r="13" spans="1:8" x14ac:dyDescent="0.2">
      <c r="A13" t="s">
        <v>20</v>
      </c>
      <c r="B13" t="s">
        <v>8</v>
      </c>
      <c r="C13">
        <v>619.38623050000001</v>
      </c>
      <c r="D13">
        <v>816.59277340000006</v>
      </c>
      <c r="E13" t="s">
        <v>9</v>
      </c>
      <c r="F13">
        <v>0.77423278799999995</v>
      </c>
      <c r="G13">
        <v>0.680493978</v>
      </c>
      <c r="H13" t="str">
        <f t="shared" si="0"/>
        <v>[0.774232788* imageHeight, 0.680493978* imageWidth]</v>
      </c>
    </row>
    <row r="14" spans="1:8" x14ac:dyDescent="0.2">
      <c r="A14" t="s">
        <v>21</v>
      </c>
      <c r="B14" t="s">
        <v>8</v>
      </c>
      <c r="C14">
        <v>594.0376377</v>
      </c>
      <c r="D14">
        <v>1044.8963699999999</v>
      </c>
      <c r="E14" t="s">
        <v>9</v>
      </c>
      <c r="F14">
        <v>0.74254704699999996</v>
      </c>
      <c r="G14">
        <v>0.87074697499999998</v>
      </c>
      <c r="H14" t="str">
        <f t="shared" si="0"/>
        <v>[0.742547047* imageHeight, 0.870746975* imageWidth]</v>
      </c>
    </row>
    <row r="15" spans="1:8" x14ac:dyDescent="0.2">
      <c r="A15" t="s">
        <v>22</v>
      </c>
      <c r="B15" t="s">
        <v>8</v>
      </c>
      <c r="C15">
        <v>448.25294489999999</v>
      </c>
      <c r="D15">
        <v>912.43968199999995</v>
      </c>
      <c r="E15" t="s">
        <v>9</v>
      </c>
      <c r="F15">
        <v>0.56031618100000002</v>
      </c>
      <c r="G15">
        <v>0.76036640200000005</v>
      </c>
      <c r="H15" t="str">
        <f t="shared" si="0"/>
        <v>[0.560316181* imageHeight, 0.760366402* imageWidth]</v>
      </c>
    </row>
    <row r="16" spans="1:8" x14ac:dyDescent="0.2">
      <c r="A16" t="s">
        <v>23</v>
      </c>
      <c r="B16" t="s">
        <v>8</v>
      </c>
      <c r="C16">
        <v>283.625</v>
      </c>
      <c r="D16">
        <v>760.5</v>
      </c>
      <c r="E16" t="s">
        <v>9</v>
      </c>
      <c r="F16">
        <v>0.35453125000000002</v>
      </c>
      <c r="G16">
        <v>0.63375000000000004</v>
      </c>
      <c r="H16" t="str">
        <f t="shared" si="0"/>
        <v>[0.35453125* imageHeight, 0.63375* imageWidth]</v>
      </c>
    </row>
    <row r="17" spans="1:8" x14ac:dyDescent="0.2">
      <c r="A17" t="s">
        <v>24</v>
      </c>
      <c r="B17" t="s">
        <v>8</v>
      </c>
      <c r="C17">
        <v>491.1712632</v>
      </c>
      <c r="D17">
        <v>1126.3011300000001</v>
      </c>
      <c r="E17" t="s">
        <v>9</v>
      </c>
      <c r="F17">
        <v>0.61396407900000005</v>
      </c>
      <c r="G17">
        <v>0.93858427499999997</v>
      </c>
      <c r="H17" t="str">
        <f t="shared" si="0"/>
        <v>[0.613964079* imageHeight, 0.938584275* imageWidth]</v>
      </c>
    </row>
    <row r="18" spans="1:8" x14ac:dyDescent="0.2">
      <c r="A18" t="s">
        <v>25</v>
      </c>
      <c r="B18" t="s">
        <v>26</v>
      </c>
      <c r="C18">
        <v>328.875</v>
      </c>
      <c r="D18">
        <v>82</v>
      </c>
      <c r="E18" t="s">
        <v>9</v>
      </c>
      <c r="F18">
        <v>0.41109374999999998</v>
      </c>
      <c r="G18">
        <v>6.8333332999999996E-2</v>
      </c>
      <c r="H18" t="str">
        <f t="shared" si="0"/>
        <v>[0.41109375* imageHeight, 0.068333333* imageWidth]</v>
      </c>
    </row>
    <row r="19" spans="1:8" x14ac:dyDescent="0.2">
      <c r="A19" t="s">
        <v>27</v>
      </c>
      <c r="B19" t="s">
        <v>26</v>
      </c>
      <c r="C19">
        <v>103.0625</v>
      </c>
      <c r="D19">
        <v>77.3125</v>
      </c>
      <c r="E19" t="s">
        <v>9</v>
      </c>
      <c r="F19">
        <v>0.12882812499999999</v>
      </c>
      <c r="G19">
        <v>6.4427082999999996E-2</v>
      </c>
      <c r="H19" t="str">
        <f t="shared" si="0"/>
        <v>[0.128828125* imageHeight, 0.064427083* imageWidth]</v>
      </c>
    </row>
    <row r="20" spans="1:8" x14ac:dyDescent="0.2">
      <c r="A20" t="s">
        <v>28</v>
      </c>
      <c r="B20" t="s">
        <v>26</v>
      </c>
      <c r="C20">
        <v>475.875</v>
      </c>
      <c r="D20">
        <v>179.75</v>
      </c>
      <c r="E20" t="s">
        <v>9</v>
      </c>
      <c r="F20">
        <v>0.59484375</v>
      </c>
      <c r="G20">
        <v>0.14979166699999999</v>
      </c>
      <c r="H20" t="str">
        <f t="shared" si="0"/>
        <v>[0.59484375* imageHeight, 0.149791667* imageWidth]</v>
      </c>
    </row>
    <row r="21" spans="1:8" x14ac:dyDescent="0.2">
      <c r="A21" t="s">
        <v>29</v>
      </c>
      <c r="B21" t="s">
        <v>26</v>
      </c>
      <c r="C21">
        <v>526.125</v>
      </c>
      <c r="D21">
        <v>245.25</v>
      </c>
      <c r="E21" t="s">
        <v>9</v>
      </c>
      <c r="F21">
        <v>0.65765625000000005</v>
      </c>
      <c r="G21">
        <v>0.204375</v>
      </c>
      <c r="H21" t="str">
        <f t="shared" si="0"/>
        <v>[0.65765625* imageHeight, 0.204375* imageWidth]</v>
      </c>
    </row>
    <row r="22" spans="1:8" x14ac:dyDescent="0.2">
      <c r="A22" t="s">
        <v>30</v>
      </c>
      <c r="B22" t="s">
        <v>26</v>
      </c>
      <c r="C22">
        <v>653.5</v>
      </c>
      <c r="D22">
        <v>325.65234379999998</v>
      </c>
      <c r="E22" t="s">
        <v>9</v>
      </c>
      <c r="F22">
        <v>0.81687500000000002</v>
      </c>
      <c r="G22">
        <v>0.27137695299999998</v>
      </c>
      <c r="H22" t="str">
        <f t="shared" si="0"/>
        <v>[0.816875* imageHeight, 0.271376953* imageWidth]</v>
      </c>
    </row>
    <row r="23" spans="1:8" x14ac:dyDescent="0.2">
      <c r="A23" t="s">
        <v>31</v>
      </c>
      <c r="B23" t="s">
        <v>26</v>
      </c>
      <c r="C23">
        <v>691.75</v>
      </c>
      <c r="D23">
        <v>334.83984379999998</v>
      </c>
      <c r="E23" t="s">
        <v>9</v>
      </c>
      <c r="F23">
        <v>0.86468750000000005</v>
      </c>
      <c r="G23">
        <v>0.27903320300000001</v>
      </c>
      <c r="H23" t="str">
        <f t="shared" si="0"/>
        <v>[0.8646875* imageHeight, 0.279033203* imageWidth]</v>
      </c>
    </row>
    <row r="24" spans="1:8" x14ac:dyDescent="0.2">
      <c r="A24" t="s">
        <v>32</v>
      </c>
      <c r="B24" t="s">
        <v>26</v>
      </c>
      <c r="C24">
        <v>565.375</v>
      </c>
      <c r="D24">
        <v>126.875</v>
      </c>
      <c r="E24" t="s">
        <v>9</v>
      </c>
      <c r="F24">
        <v>0.70671874999999995</v>
      </c>
      <c r="G24">
        <v>0.105729167</v>
      </c>
      <c r="H24" t="str">
        <f t="shared" si="0"/>
        <v>[0.70671875* imageHeight, 0.105729167* imageWidth]</v>
      </c>
    </row>
    <row r="25" spans="1:8" x14ac:dyDescent="0.2">
      <c r="A25" t="s">
        <v>33</v>
      </c>
      <c r="B25" t="s">
        <v>26</v>
      </c>
      <c r="C25">
        <v>673.12497629999996</v>
      </c>
      <c r="D25">
        <v>157.5</v>
      </c>
      <c r="E25" t="s">
        <v>9</v>
      </c>
      <c r="F25">
        <v>0.84140621999999998</v>
      </c>
      <c r="G25">
        <v>0.13125000000000001</v>
      </c>
      <c r="H25" t="str">
        <f t="shared" si="0"/>
        <v>[0.84140622* imageHeight, 0.13125* imageWidth]</v>
      </c>
    </row>
    <row r="26" spans="1:8" x14ac:dyDescent="0.2">
      <c r="A26" t="s">
        <v>61</v>
      </c>
      <c r="B26" t="s">
        <v>26</v>
      </c>
      <c r="C26">
        <v>693.24479398767096</v>
      </c>
      <c r="D26">
        <v>291.37326049804602</v>
      </c>
      <c r="E26" t="s">
        <v>100</v>
      </c>
      <c r="F26">
        <f>C26/800</f>
        <v>0.8665559924845887</v>
      </c>
      <c r="G26">
        <f>D26/1200</f>
        <v>0.24281105041503837</v>
      </c>
      <c r="H26" t="str">
        <f t="shared" si="0"/>
        <v>[0.866555992484589* imageHeight, 0.242811050415038* imageWidth]</v>
      </c>
    </row>
    <row r="27" spans="1:8" x14ac:dyDescent="0.2">
      <c r="A27" t="s">
        <v>99</v>
      </c>
      <c r="B27" t="s">
        <v>26</v>
      </c>
      <c r="C27">
        <v>558.74479671517895</v>
      </c>
      <c r="D27">
        <v>729.62326049804597</v>
      </c>
      <c r="E27" t="s">
        <v>100</v>
      </c>
      <c r="F27">
        <f>C27/800</f>
        <v>0.69843099589397373</v>
      </c>
      <c r="G27">
        <f>D27/1200</f>
        <v>0.60801938374837161</v>
      </c>
      <c r="H27" t="str">
        <f t="shared" si="0"/>
        <v>[0.698430995893974* imageHeight, 0.608019383748372* imageWidth]</v>
      </c>
    </row>
    <row r="28" spans="1:8" x14ac:dyDescent="0.2">
      <c r="A28" t="s">
        <v>34</v>
      </c>
      <c r="B28" t="s">
        <v>26</v>
      </c>
      <c r="C28">
        <v>646.03125</v>
      </c>
      <c r="D28">
        <v>877</v>
      </c>
      <c r="E28" t="s">
        <v>9</v>
      </c>
      <c r="F28">
        <v>0.807539063</v>
      </c>
      <c r="G28">
        <v>0.73083333299999997</v>
      </c>
      <c r="H28" t="str">
        <f t="shared" si="0"/>
        <v>[0.807539063* imageHeight, 0.730833333* imageWidth]</v>
      </c>
    </row>
    <row r="29" spans="1:8" x14ac:dyDescent="0.2">
      <c r="A29" t="s">
        <v>35</v>
      </c>
      <c r="B29" t="s">
        <v>26</v>
      </c>
      <c r="C29">
        <v>678.97937620000005</v>
      </c>
      <c r="D29">
        <v>1061.038918</v>
      </c>
      <c r="E29" t="s">
        <v>9</v>
      </c>
      <c r="F29">
        <v>0.84872422000000003</v>
      </c>
      <c r="G29">
        <v>0.88419909900000004</v>
      </c>
      <c r="H29" t="str">
        <f t="shared" si="0"/>
        <v>[0.84872422* imageHeight, 0.884199099* imageWidth]</v>
      </c>
    </row>
    <row r="30" spans="1:8" x14ac:dyDescent="0.2">
      <c r="A30" t="s">
        <v>36</v>
      </c>
      <c r="B30" t="s">
        <v>26</v>
      </c>
      <c r="C30">
        <v>324.25000180000001</v>
      </c>
      <c r="D30">
        <v>898.24999930000001</v>
      </c>
      <c r="E30" t="s">
        <v>37</v>
      </c>
      <c r="F30">
        <v>0.40531250200000002</v>
      </c>
      <c r="G30">
        <v>0.74854166600000005</v>
      </c>
      <c r="H30" t="str">
        <f t="shared" si="0"/>
        <v>[0.405312502* imageHeight, 0.748541666* imageWidth]</v>
      </c>
    </row>
    <row r="31" spans="1:8" x14ac:dyDescent="0.2">
      <c r="A31" t="s">
        <v>38</v>
      </c>
      <c r="B31" t="s">
        <v>26</v>
      </c>
      <c r="C31">
        <v>444</v>
      </c>
      <c r="D31">
        <v>1126.75</v>
      </c>
      <c r="E31" t="s">
        <v>9</v>
      </c>
      <c r="F31">
        <v>0.55500000000000005</v>
      </c>
      <c r="G31">
        <v>0.93895833299999998</v>
      </c>
      <c r="H31" t="str">
        <f t="shared" si="0"/>
        <v>[0.555* imageHeight, 0.938958333* imageWidth]</v>
      </c>
    </row>
    <row r="32" spans="1:8" x14ac:dyDescent="0.2">
      <c r="A32" t="s">
        <v>101</v>
      </c>
      <c r="B32" t="s">
        <v>26</v>
      </c>
      <c r="C32">
        <v>649.49479442636095</v>
      </c>
      <c r="D32">
        <v>744.28645706176701</v>
      </c>
      <c r="E32" t="s">
        <v>37</v>
      </c>
      <c r="F32">
        <f>C32/800</f>
        <v>0.81186849303295117</v>
      </c>
      <c r="G32">
        <f>D32/1200</f>
        <v>0.62023871421813914</v>
      </c>
      <c r="H32" t="str">
        <f t="shared" si="0"/>
        <v>[0.811868493032951* imageHeight, 0.620238714218139* imageWidth]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3BE14-3676-1E4A-AC00-E861D7B26ECF}">
  <dimension ref="A1:AF41"/>
  <sheetViews>
    <sheetView workbookViewId="0">
      <selection activeCell="A2" sqref="A2:K2"/>
    </sheetView>
  </sheetViews>
  <sheetFormatPr baseColWidth="10" defaultRowHeight="16" x14ac:dyDescent="0.2"/>
  <cols>
    <col min="1" max="1" width="11.6640625" bestFit="1" customWidth="1"/>
    <col min="2" max="3" width="6" customWidth="1"/>
    <col min="4" max="5" width="4.6640625" customWidth="1"/>
    <col min="6" max="7" width="5" customWidth="1"/>
    <col min="8" max="9" width="5.33203125" customWidth="1"/>
    <col min="10" max="10" width="5.1640625" customWidth="1"/>
    <col min="11" max="11" width="5" customWidth="1"/>
    <col min="12" max="13" width="4.6640625" customWidth="1"/>
    <col min="14" max="15" width="5" customWidth="1"/>
    <col min="16" max="17" width="5.33203125" customWidth="1"/>
    <col min="18" max="18" width="5.1640625" customWidth="1"/>
    <col min="19" max="19" width="5" customWidth="1"/>
    <col min="20" max="20" width="12.1640625" customWidth="1"/>
    <col min="21" max="21" width="8.1640625" customWidth="1"/>
    <col min="22" max="22" width="12.1640625" customWidth="1"/>
    <col min="23" max="23" width="8.1640625" customWidth="1"/>
    <col min="24" max="24" width="12.1640625" customWidth="1"/>
    <col min="25" max="25" width="8.1640625" customWidth="1"/>
    <col min="26" max="26" width="12.1640625" customWidth="1"/>
    <col min="27" max="27" width="8.1640625" customWidth="1"/>
    <col min="28" max="28" width="47.6640625" customWidth="1"/>
    <col min="29" max="30" width="49.6640625" customWidth="1"/>
    <col min="31" max="31" width="47.6640625" customWidth="1"/>
    <col min="32" max="32" width="28.33203125" customWidth="1"/>
  </cols>
  <sheetData>
    <row r="1" spans="1:32" x14ac:dyDescent="0.2">
      <c r="B1" s="1" t="s">
        <v>96</v>
      </c>
      <c r="C1" s="1"/>
      <c r="D1" s="1"/>
      <c r="E1" s="1"/>
      <c r="F1" s="1"/>
      <c r="G1" s="1"/>
      <c r="H1" s="1"/>
      <c r="I1" s="1"/>
      <c r="J1" s="1"/>
      <c r="K1" s="1"/>
      <c r="L1" s="1" t="s">
        <v>97</v>
      </c>
      <c r="M1" s="1"/>
      <c r="N1" s="1"/>
      <c r="O1" s="1"/>
      <c r="P1" s="1"/>
      <c r="Q1" s="1"/>
      <c r="R1" s="1"/>
      <c r="S1" s="1"/>
      <c r="T1" s="1" t="s">
        <v>98</v>
      </c>
      <c r="U1" s="1"/>
      <c r="V1" s="1"/>
      <c r="W1" s="1"/>
      <c r="X1" s="1"/>
      <c r="Y1" s="1"/>
      <c r="Z1" s="1"/>
      <c r="AA1" s="1"/>
    </row>
    <row r="2" spans="1:32" x14ac:dyDescent="0.2">
      <c r="A2" t="s">
        <v>40</v>
      </c>
      <c r="B2" t="s">
        <v>81</v>
      </c>
      <c r="C2" t="s">
        <v>82</v>
      </c>
      <c r="D2" t="s">
        <v>83</v>
      </c>
      <c r="E2" t="s">
        <v>84</v>
      </c>
      <c r="F2" t="s">
        <v>85</v>
      </c>
      <c r="G2" t="s">
        <v>86</v>
      </c>
      <c r="H2" t="s">
        <v>87</v>
      </c>
      <c r="I2" t="s">
        <v>88</v>
      </c>
      <c r="J2" t="s">
        <v>89</v>
      </c>
      <c r="K2" t="s">
        <v>90</v>
      </c>
      <c r="L2" t="s">
        <v>83</v>
      </c>
      <c r="M2" t="s">
        <v>84</v>
      </c>
      <c r="N2" t="s">
        <v>85</v>
      </c>
      <c r="O2" t="s">
        <v>86</v>
      </c>
      <c r="P2" t="s">
        <v>87</v>
      </c>
      <c r="Q2" t="s">
        <v>88</v>
      </c>
      <c r="R2" t="s">
        <v>89</v>
      </c>
      <c r="S2" t="s">
        <v>90</v>
      </c>
      <c r="T2" t="s">
        <v>83</v>
      </c>
      <c r="U2" t="s">
        <v>84</v>
      </c>
      <c r="V2" t="s">
        <v>85</v>
      </c>
      <c r="W2" t="s">
        <v>86</v>
      </c>
      <c r="X2" t="s">
        <v>87</v>
      </c>
      <c r="Y2" t="s">
        <v>88</v>
      </c>
      <c r="Z2" t="s">
        <v>89</v>
      </c>
      <c r="AA2" t="s">
        <v>90</v>
      </c>
      <c r="AB2" t="s">
        <v>91</v>
      </c>
      <c r="AC2" t="s">
        <v>92</v>
      </c>
      <c r="AD2" t="s">
        <v>93</v>
      </c>
      <c r="AE2" t="s">
        <v>94</v>
      </c>
      <c r="AF2" t="s">
        <v>95</v>
      </c>
    </row>
    <row r="3" spans="1:32" x14ac:dyDescent="0.2">
      <c r="A3" t="s">
        <v>41</v>
      </c>
      <c r="B3">
        <v>18</v>
      </c>
      <c r="C3">
        <v>45</v>
      </c>
      <c r="D3">
        <v>230</v>
      </c>
      <c r="E3">
        <v>508</v>
      </c>
      <c r="F3">
        <f>D3</f>
        <v>230</v>
      </c>
      <c r="G3">
        <f>E3+C3</f>
        <v>553</v>
      </c>
      <c r="H3">
        <f>D3+B3</f>
        <v>248</v>
      </c>
      <c r="I3">
        <f>G3</f>
        <v>553</v>
      </c>
      <c r="J3">
        <f>H3</f>
        <v>248</v>
      </c>
      <c r="K3">
        <f>E3</f>
        <v>508</v>
      </c>
      <c r="L3">
        <f>D3</f>
        <v>230</v>
      </c>
      <c r="M3">
        <f>800-E3</f>
        <v>292</v>
      </c>
      <c r="N3">
        <f>F3</f>
        <v>230</v>
      </c>
      <c r="O3">
        <f>800-G3</f>
        <v>247</v>
      </c>
      <c r="P3">
        <f>H3</f>
        <v>248</v>
      </c>
      <c r="Q3">
        <f>800-I3</f>
        <v>247</v>
      </c>
      <c r="R3">
        <f>J3</f>
        <v>248</v>
      </c>
      <c r="S3">
        <f>800-K3</f>
        <v>292</v>
      </c>
      <c r="T3">
        <f>L3/1200</f>
        <v>0.19166666666666668</v>
      </c>
      <c r="U3">
        <f>M3/800</f>
        <v>0.36499999999999999</v>
      </c>
      <c r="V3">
        <f>N3/1200</f>
        <v>0.19166666666666668</v>
      </c>
      <c r="W3">
        <f>O3/800</f>
        <v>0.30875000000000002</v>
      </c>
      <c r="X3">
        <f>P3/1200</f>
        <v>0.20666666666666667</v>
      </c>
      <c r="Y3">
        <f>Q3/800</f>
        <v>0.30875000000000002</v>
      </c>
      <c r="Z3">
        <f>R3/1200</f>
        <v>0.20666666666666667</v>
      </c>
      <c r="AA3">
        <f>S3/800</f>
        <v>0.36499999999999999</v>
      </c>
      <c r="AB3" t="str">
        <f>_xlfn.CONCAT("[", U3, "* imageHeight", ", ", T3, "* imageWidth", "]")</f>
        <v>[0.365* imageHeight, 0.191666666666667* imageWidth]</v>
      </c>
      <c r="AC3" t="str">
        <f>_xlfn.CONCAT("[", W3, "* imageHeight", ", ", V3, "* imageWidth", "]")</f>
        <v>[0.30875* imageHeight, 0.191666666666667* imageWidth]</v>
      </c>
      <c r="AD3" t="str">
        <f>_xlfn.CONCAT("[", Y3, "* imageHeight", ", ", X3, "* imageWidth", "]")</f>
        <v>[0.30875* imageHeight, 0.206666666666667* imageWidth]</v>
      </c>
      <c r="AE3" t="str">
        <f>_xlfn.CONCAT("[", AA3, "* imageHeight", ", ", Z3, "* imageWidth", "]")</f>
        <v>[0.365* imageHeight, 0.206666666666667* imageWidth]</v>
      </c>
      <c r="AF3" t="str">
        <f>_xlfn.CONCAT(AB3, ", ", AC3, ", ", AD3, ", ", AE3, ",", AB3)</f>
        <v>[0.365* imageHeight, 0.191666666666667* imageWidth], [0.30875* imageHeight, 0.191666666666667* imageWidth], [0.30875* imageHeight, 0.206666666666667* imageWidth], [0.365* imageHeight, 0.206666666666667* imageWidth],[0.365* imageHeight, 0.191666666666667* imageWidth]</v>
      </c>
    </row>
    <row r="4" spans="1:32" x14ac:dyDescent="0.2">
      <c r="A4" t="s">
        <v>42</v>
      </c>
      <c r="B4">
        <v>63</v>
      </c>
      <c r="C4">
        <v>27</v>
      </c>
      <c r="D4">
        <v>166</v>
      </c>
      <c r="E4">
        <v>482</v>
      </c>
      <c r="F4">
        <f t="shared" ref="F4:F41" si="0">D4</f>
        <v>166</v>
      </c>
      <c r="G4">
        <f t="shared" ref="G4:G41" si="1">E4+C4</f>
        <v>509</v>
      </c>
      <c r="H4">
        <f t="shared" ref="H4:H41" si="2">D4+B4</f>
        <v>229</v>
      </c>
      <c r="I4">
        <f t="shared" ref="I4:J41" si="3">G4</f>
        <v>509</v>
      </c>
      <c r="J4">
        <f t="shared" si="3"/>
        <v>229</v>
      </c>
      <c r="K4">
        <f t="shared" ref="K4:K41" si="4">E4</f>
        <v>482</v>
      </c>
      <c r="L4">
        <f t="shared" ref="L4:L41" si="5">D4</f>
        <v>166</v>
      </c>
      <c r="M4">
        <f t="shared" ref="M4:M41" si="6">800-E4</f>
        <v>318</v>
      </c>
      <c r="N4">
        <f t="shared" ref="N4:N41" si="7">F4</f>
        <v>166</v>
      </c>
      <c r="O4">
        <f t="shared" ref="O4:O41" si="8">800-G4</f>
        <v>291</v>
      </c>
      <c r="P4">
        <f t="shared" ref="P4:P41" si="9">H4</f>
        <v>229</v>
      </c>
      <c r="Q4">
        <f t="shared" ref="Q4:Q41" si="10">800-I4</f>
        <v>291</v>
      </c>
      <c r="R4">
        <f t="shared" ref="R4:R41" si="11">J4</f>
        <v>229</v>
      </c>
      <c r="S4">
        <f t="shared" ref="S4:S41" si="12">800-K4</f>
        <v>318</v>
      </c>
      <c r="T4">
        <f t="shared" ref="T4:T41" si="13">L4/1200</f>
        <v>0.13833333333333334</v>
      </c>
      <c r="U4">
        <f t="shared" ref="U4:U41" si="14">M4/800</f>
        <v>0.39750000000000002</v>
      </c>
      <c r="V4">
        <f t="shared" ref="V4:V41" si="15">N4/1200</f>
        <v>0.13833333333333334</v>
      </c>
      <c r="W4">
        <f t="shared" ref="W4:W41" si="16">O4/800</f>
        <v>0.36375000000000002</v>
      </c>
      <c r="X4">
        <f t="shared" ref="X4:X41" si="17">P4/1200</f>
        <v>0.19083333333333333</v>
      </c>
      <c r="Y4">
        <f t="shared" ref="Y4:Y41" si="18">Q4/800</f>
        <v>0.36375000000000002</v>
      </c>
      <c r="Z4">
        <f t="shared" ref="Z4:Z41" si="19">R4/1200</f>
        <v>0.19083333333333333</v>
      </c>
      <c r="AA4">
        <f t="shared" ref="AA4:AA41" si="20">S4/800</f>
        <v>0.39750000000000002</v>
      </c>
      <c r="AB4" t="str">
        <f t="shared" ref="AB4:AB41" si="21">_xlfn.CONCAT("[", U4, "* imageHeight", ", ", T4, "* imageWidth", "]")</f>
        <v>[0.3975* imageHeight, 0.138333333333333* imageWidth]</v>
      </c>
      <c r="AC4" t="str">
        <f t="shared" ref="AC4:AC41" si="22">_xlfn.CONCAT("[", W4, "* imageHeight", ", ", V4, "* imageWidth", "]")</f>
        <v>[0.36375* imageHeight, 0.138333333333333* imageWidth]</v>
      </c>
      <c r="AD4" t="str">
        <f t="shared" ref="AD4:AD41" si="23">_xlfn.CONCAT("[", Y4, "* imageHeight", ", ", X4, "* imageWidth", "]")</f>
        <v>[0.36375* imageHeight, 0.190833333333333* imageWidth]</v>
      </c>
      <c r="AE4" t="str">
        <f t="shared" ref="AE4:AE41" si="24">_xlfn.CONCAT("[", AA4, "* imageHeight", ", ", Z4, "* imageWidth", "]")</f>
        <v>[0.3975* imageHeight, 0.190833333333333* imageWidth]</v>
      </c>
      <c r="AF4" t="str">
        <f t="shared" ref="AF4:AF41" si="25">_xlfn.CONCAT(AB4, ", ", AC4, ", ", AD4, ", ", AE4, ",", AB4)</f>
        <v>[0.3975* imageHeight, 0.138333333333333* imageWidth], [0.36375* imageHeight, 0.138333333333333* imageWidth], [0.36375* imageHeight, 0.190833333333333* imageWidth], [0.3975* imageHeight, 0.190833333333333* imageWidth],[0.3975* imageHeight, 0.138333333333333* imageWidth]</v>
      </c>
    </row>
    <row r="5" spans="1:32" x14ac:dyDescent="0.2">
      <c r="A5" t="s">
        <v>43</v>
      </c>
      <c r="B5">
        <v>94</v>
      </c>
      <c r="C5">
        <v>51</v>
      </c>
      <c r="D5">
        <v>49</v>
      </c>
      <c r="E5">
        <v>480</v>
      </c>
      <c r="F5">
        <f t="shared" si="0"/>
        <v>49</v>
      </c>
      <c r="G5">
        <f t="shared" si="1"/>
        <v>531</v>
      </c>
      <c r="H5">
        <f t="shared" si="2"/>
        <v>143</v>
      </c>
      <c r="I5">
        <f t="shared" si="3"/>
        <v>531</v>
      </c>
      <c r="J5">
        <f t="shared" si="3"/>
        <v>143</v>
      </c>
      <c r="K5">
        <f t="shared" si="4"/>
        <v>480</v>
      </c>
      <c r="L5">
        <f t="shared" si="5"/>
        <v>49</v>
      </c>
      <c r="M5">
        <f t="shared" si="6"/>
        <v>320</v>
      </c>
      <c r="N5">
        <f t="shared" si="7"/>
        <v>49</v>
      </c>
      <c r="O5">
        <f t="shared" si="8"/>
        <v>269</v>
      </c>
      <c r="P5">
        <f t="shared" si="9"/>
        <v>143</v>
      </c>
      <c r="Q5">
        <f t="shared" si="10"/>
        <v>269</v>
      </c>
      <c r="R5">
        <f t="shared" si="11"/>
        <v>143</v>
      </c>
      <c r="S5">
        <f t="shared" si="12"/>
        <v>320</v>
      </c>
      <c r="T5">
        <f t="shared" si="13"/>
        <v>4.0833333333333333E-2</v>
      </c>
      <c r="U5">
        <f t="shared" si="14"/>
        <v>0.4</v>
      </c>
      <c r="V5">
        <f t="shared" si="15"/>
        <v>4.0833333333333333E-2</v>
      </c>
      <c r="W5">
        <f t="shared" si="16"/>
        <v>0.33624999999999999</v>
      </c>
      <c r="X5">
        <f t="shared" si="17"/>
        <v>0.11916666666666667</v>
      </c>
      <c r="Y5">
        <f t="shared" si="18"/>
        <v>0.33624999999999999</v>
      </c>
      <c r="Z5">
        <f t="shared" si="19"/>
        <v>0.11916666666666667</v>
      </c>
      <c r="AA5">
        <f t="shared" si="20"/>
        <v>0.4</v>
      </c>
      <c r="AB5" t="str">
        <f t="shared" si="21"/>
        <v>[0.4* imageHeight, 0.0408333333333333* imageWidth]</v>
      </c>
      <c r="AC5" t="str">
        <f t="shared" si="22"/>
        <v>[0.33625* imageHeight, 0.0408333333333333* imageWidth]</v>
      </c>
      <c r="AD5" t="str">
        <f t="shared" si="23"/>
        <v>[0.33625* imageHeight, 0.119166666666667* imageWidth]</v>
      </c>
      <c r="AE5" t="str">
        <f t="shared" si="24"/>
        <v>[0.4* imageHeight, 0.119166666666667* imageWidth]</v>
      </c>
      <c r="AF5" t="str">
        <f t="shared" si="25"/>
        <v>[0.4* imageHeight, 0.0408333333333333* imageWidth], [0.33625* imageHeight, 0.0408333333333333* imageWidth], [0.33625* imageHeight, 0.119166666666667* imageWidth], [0.4* imageHeight, 0.119166666666667* imageWidth],[0.4* imageHeight, 0.0408333333333333* imageWidth]</v>
      </c>
    </row>
    <row r="6" spans="1:32" x14ac:dyDescent="0.2">
      <c r="A6" t="s">
        <v>44</v>
      </c>
      <c r="B6">
        <v>51</v>
      </c>
      <c r="C6">
        <v>77</v>
      </c>
      <c r="D6">
        <v>75</v>
      </c>
      <c r="E6">
        <v>380</v>
      </c>
      <c r="F6">
        <f t="shared" si="0"/>
        <v>75</v>
      </c>
      <c r="G6">
        <f t="shared" si="1"/>
        <v>457</v>
      </c>
      <c r="H6">
        <f t="shared" si="2"/>
        <v>126</v>
      </c>
      <c r="I6">
        <f t="shared" si="3"/>
        <v>457</v>
      </c>
      <c r="J6">
        <f t="shared" si="3"/>
        <v>126</v>
      </c>
      <c r="K6">
        <f t="shared" si="4"/>
        <v>380</v>
      </c>
      <c r="L6">
        <f t="shared" si="5"/>
        <v>75</v>
      </c>
      <c r="M6">
        <f t="shared" si="6"/>
        <v>420</v>
      </c>
      <c r="N6">
        <f t="shared" si="7"/>
        <v>75</v>
      </c>
      <c r="O6">
        <f t="shared" si="8"/>
        <v>343</v>
      </c>
      <c r="P6">
        <f t="shared" si="9"/>
        <v>126</v>
      </c>
      <c r="Q6">
        <f t="shared" si="10"/>
        <v>343</v>
      </c>
      <c r="R6">
        <f t="shared" si="11"/>
        <v>126</v>
      </c>
      <c r="S6">
        <f t="shared" si="12"/>
        <v>420</v>
      </c>
      <c r="T6">
        <f t="shared" si="13"/>
        <v>6.25E-2</v>
      </c>
      <c r="U6">
        <f t="shared" si="14"/>
        <v>0.52500000000000002</v>
      </c>
      <c r="V6">
        <f t="shared" si="15"/>
        <v>6.25E-2</v>
      </c>
      <c r="W6">
        <f t="shared" si="16"/>
        <v>0.42875000000000002</v>
      </c>
      <c r="X6">
        <f t="shared" si="17"/>
        <v>0.105</v>
      </c>
      <c r="Y6">
        <f t="shared" si="18"/>
        <v>0.42875000000000002</v>
      </c>
      <c r="Z6">
        <f t="shared" si="19"/>
        <v>0.105</v>
      </c>
      <c r="AA6">
        <f t="shared" si="20"/>
        <v>0.52500000000000002</v>
      </c>
      <c r="AB6" t="str">
        <f t="shared" si="21"/>
        <v>[0.525* imageHeight, 0.0625* imageWidth]</v>
      </c>
      <c r="AC6" t="str">
        <f t="shared" si="22"/>
        <v>[0.42875* imageHeight, 0.0625* imageWidth]</v>
      </c>
      <c r="AD6" t="str">
        <f t="shared" si="23"/>
        <v>[0.42875* imageHeight, 0.105* imageWidth]</v>
      </c>
      <c r="AE6" t="str">
        <f t="shared" si="24"/>
        <v>[0.525* imageHeight, 0.105* imageWidth]</v>
      </c>
      <c r="AF6" t="str">
        <f t="shared" si="25"/>
        <v>[0.525* imageHeight, 0.0625* imageWidth], [0.42875* imageHeight, 0.0625* imageWidth], [0.42875* imageHeight, 0.105* imageWidth], [0.525* imageHeight, 0.105* imageWidth],[0.525* imageHeight, 0.0625* imageWidth]</v>
      </c>
    </row>
    <row r="7" spans="1:32" x14ac:dyDescent="0.2">
      <c r="A7" t="s">
        <v>45</v>
      </c>
      <c r="B7">
        <v>51</v>
      </c>
      <c r="C7">
        <v>83</v>
      </c>
      <c r="D7">
        <v>81</v>
      </c>
      <c r="E7">
        <v>242</v>
      </c>
      <c r="F7">
        <f t="shared" si="0"/>
        <v>81</v>
      </c>
      <c r="G7">
        <f t="shared" si="1"/>
        <v>325</v>
      </c>
      <c r="H7">
        <f t="shared" si="2"/>
        <v>132</v>
      </c>
      <c r="I7">
        <f t="shared" si="3"/>
        <v>325</v>
      </c>
      <c r="J7">
        <f t="shared" si="3"/>
        <v>132</v>
      </c>
      <c r="K7">
        <f t="shared" si="4"/>
        <v>242</v>
      </c>
      <c r="L7">
        <f t="shared" si="5"/>
        <v>81</v>
      </c>
      <c r="M7">
        <f t="shared" si="6"/>
        <v>558</v>
      </c>
      <c r="N7">
        <f t="shared" si="7"/>
        <v>81</v>
      </c>
      <c r="O7">
        <f t="shared" si="8"/>
        <v>475</v>
      </c>
      <c r="P7">
        <f t="shared" si="9"/>
        <v>132</v>
      </c>
      <c r="Q7">
        <f t="shared" si="10"/>
        <v>475</v>
      </c>
      <c r="R7">
        <f t="shared" si="11"/>
        <v>132</v>
      </c>
      <c r="S7">
        <f t="shared" si="12"/>
        <v>558</v>
      </c>
      <c r="T7">
        <f t="shared" si="13"/>
        <v>6.7500000000000004E-2</v>
      </c>
      <c r="U7">
        <f t="shared" si="14"/>
        <v>0.69750000000000001</v>
      </c>
      <c r="V7">
        <f t="shared" si="15"/>
        <v>6.7500000000000004E-2</v>
      </c>
      <c r="W7">
        <f t="shared" si="16"/>
        <v>0.59375</v>
      </c>
      <c r="X7">
        <f t="shared" si="17"/>
        <v>0.11</v>
      </c>
      <c r="Y7">
        <f t="shared" si="18"/>
        <v>0.59375</v>
      </c>
      <c r="Z7">
        <f t="shared" si="19"/>
        <v>0.11</v>
      </c>
      <c r="AA7">
        <f t="shared" si="20"/>
        <v>0.69750000000000001</v>
      </c>
      <c r="AB7" t="str">
        <f t="shared" si="21"/>
        <v>[0.6975* imageHeight, 0.0675* imageWidth]</v>
      </c>
      <c r="AC7" t="str">
        <f t="shared" si="22"/>
        <v>[0.59375* imageHeight, 0.0675* imageWidth]</v>
      </c>
      <c r="AD7" t="str">
        <f t="shared" si="23"/>
        <v>[0.59375* imageHeight, 0.11* imageWidth]</v>
      </c>
      <c r="AE7" t="str">
        <f t="shared" si="24"/>
        <v>[0.6975* imageHeight, 0.11* imageWidth]</v>
      </c>
      <c r="AF7" t="str">
        <f t="shared" si="25"/>
        <v>[0.6975* imageHeight, 0.0675* imageWidth], [0.59375* imageHeight, 0.0675* imageWidth], [0.59375* imageHeight, 0.11* imageWidth], [0.6975* imageHeight, 0.11* imageWidth],[0.6975* imageHeight, 0.0675* imageWidth]</v>
      </c>
    </row>
    <row r="8" spans="1:32" x14ac:dyDescent="0.2">
      <c r="A8" t="s">
        <v>46</v>
      </c>
      <c r="B8">
        <v>89</v>
      </c>
      <c r="C8">
        <v>18</v>
      </c>
      <c r="D8">
        <v>93</v>
      </c>
      <c r="E8">
        <v>331</v>
      </c>
      <c r="F8">
        <f t="shared" si="0"/>
        <v>93</v>
      </c>
      <c r="G8">
        <f t="shared" si="1"/>
        <v>349</v>
      </c>
      <c r="H8">
        <f t="shared" si="2"/>
        <v>182</v>
      </c>
      <c r="I8">
        <f t="shared" si="3"/>
        <v>349</v>
      </c>
      <c r="J8">
        <f t="shared" si="3"/>
        <v>182</v>
      </c>
      <c r="K8">
        <f t="shared" si="4"/>
        <v>331</v>
      </c>
      <c r="L8">
        <f t="shared" si="5"/>
        <v>93</v>
      </c>
      <c r="M8">
        <f t="shared" si="6"/>
        <v>469</v>
      </c>
      <c r="N8">
        <f t="shared" si="7"/>
        <v>93</v>
      </c>
      <c r="O8">
        <f t="shared" si="8"/>
        <v>451</v>
      </c>
      <c r="P8">
        <f t="shared" si="9"/>
        <v>182</v>
      </c>
      <c r="Q8">
        <f t="shared" si="10"/>
        <v>451</v>
      </c>
      <c r="R8">
        <f t="shared" si="11"/>
        <v>182</v>
      </c>
      <c r="S8">
        <f t="shared" si="12"/>
        <v>469</v>
      </c>
      <c r="T8">
        <f t="shared" si="13"/>
        <v>7.7499999999999999E-2</v>
      </c>
      <c r="U8">
        <f t="shared" si="14"/>
        <v>0.58625000000000005</v>
      </c>
      <c r="V8">
        <f t="shared" si="15"/>
        <v>7.7499999999999999E-2</v>
      </c>
      <c r="W8">
        <f t="shared" si="16"/>
        <v>0.56374999999999997</v>
      </c>
      <c r="X8">
        <f t="shared" si="17"/>
        <v>0.15166666666666667</v>
      </c>
      <c r="Y8">
        <f t="shared" si="18"/>
        <v>0.56374999999999997</v>
      </c>
      <c r="Z8">
        <f t="shared" si="19"/>
        <v>0.15166666666666667</v>
      </c>
      <c r="AA8">
        <f t="shared" si="20"/>
        <v>0.58625000000000005</v>
      </c>
      <c r="AB8" t="str">
        <f t="shared" si="21"/>
        <v>[0.58625* imageHeight, 0.0775* imageWidth]</v>
      </c>
      <c r="AC8" t="str">
        <f t="shared" si="22"/>
        <v>[0.56375* imageHeight, 0.0775* imageWidth]</v>
      </c>
      <c r="AD8" t="str">
        <f t="shared" si="23"/>
        <v>[0.56375* imageHeight, 0.151666666666667* imageWidth]</v>
      </c>
      <c r="AE8" t="str">
        <f t="shared" si="24"/>
        <v>[0.58625* imageHeight, 0.151666666666667* imageWidth]</v>
      </c>
      <c r="AF8" t="str">
        <f t="shared" si="25"/>
        <v>[0.58625* imageHeight, 0.0775* imageWidth], [0.56375* imageHeight, 0.0775* imageWidth], [0.56375* imageHeight, 0.151666666666667* imageWidth], [0.58625* imageHeight, 0.151666666666667* imageWidth],[0.58625* imageHeight, 0.0775* imageWidth]</v>
      </c>
    </row>
    <row r="9" spans="1:32" x14ac:dyDescent="0.2">
      <c r="A9" t="s">
        <v>47</v>
      </c>
      <c r="B9">
        <v>25</v>
      </c>
      <c r="C9">
        <v>56</v>
      </c>
      <c r="D9">
        <v>233</v>
      </c>
      <c r="E9">
        <v>427</v>
      </c>
      <c r="F9">
        <f t="shared" si="0"/>
        <v>233</v>
      </c>
      <c r="G9">
        <f t="shared" si="1"/>
        <v>483</v>
      </c>
      <c r="H9">
        <f t="shared" si="2"/>
        <v>258</v>
      </c>
      <c r="I9">
        <f t="shared" si="3"/>
        <v>483</v>
      </c>
      <c r="J9">
        <f t="shared" si="3"/>
        <v>258</v>
      </c>
      <c r="K9">
        <f t="shared" si="4"/>
        <v>427</v>
      </c>
      <c r="L9">
        <f t="shared" si="5"/>
        <v>233</v>
      </c>
      <c r="M9">
        <f t="shared" si="6"/>
        <v>373</v>
      </c>
      <c r="N9">
        <f t="shared" si="7"/>
        <v>233</v>
      </c>
      <c r="O9">
        <f t="shared" si="8"/>
        <v>317</v>
      </c>
      <c r="P9">
        <f t="shared" si="9"/>
        <v>258</v>
      </c>
      <c r="Q9">
        <f t="shared" si="10"/>
        <v>317</v>
      </c>
      <c r="R9">
        <f t="shared" si="11"/>
        <v>258</v>
      </c>
      <c r="S9">
        <f t="shared" si="12"/>
        <v>373</v>
      </c>
      <c r="T9">
        <f t="shared" si="13"/>
        <v>0.19416666666666665</v>
      </c>
      <c r="U9">
        <f t="shared" si="14"/>
        <v>0.46625</v>
      </c>
      <c r="V9">
        <f t="shared" si="15"/>
        <v>0.19416666666666665</v>
      </c>
      <c r="W9">
        <f t="shared" si="16"/>
        <v>0.39624999999999999</v>
      </c>
      <c r="X9">
        <f t="shared" si="17"/>
        <v>0.215</v>
      </c>
      <c r="Y9">
        <f t="shared" si="18"/>
        <v>0.39624999999999999</v>
      </c>
      <c r="Z9">
        <f t="shared" si="19"/>
        <v>0.215</v>
      </c>
      <c r="AA9">
        <f t="shared" si="20"/>
        <v>0.46625</v>
      </c>
      <c r="AB9" t="str">
        <f t="shared" si="21"/>
        <v>[0.46625* imageHeight, 0.194166666666667* imageWidth]</v>
      </c>
      <c r="AC9" t="str">
        <f t="shared" si="22"/>
        <v>[0.39625* imageHeight, 0.194166666666667* imageWidth]</v>
      </c>
      <c r="AD9" t="str">
        <f t="shared" si="23"/>
        <v>[0.39625* imageHeight, 0.215* imageWidth]</v>
      </c>
      <c r="AE9" t="str">
        <f t="shared" si="24"/>
        <v>[0.46625* imageHeight, 0.215* imageWidth]</v>
      </c>
      <c r="AF9" t="str">
        <f t="shared" si="25"/>
        <v>[0.46625* imageHeight, 0.194166666666667* imageWidth], [0.39625* imageHeight, 0.194166666666667* imageWidth], [0.39625* imageHeight, 0.215* imageWidth], [0.46625* imageHeight, 0.215* imageWidth],[0.46625* imageHeight, 0.194166666666667* imageWidth]</v>
      </c>
    </row>
    <row r="10" spans="1:32" x14ac:dyDescent="0.2">
      <c r="A10" t="s">
        <v>48</v>
      </c>
      <c r="B10">
        <v>81</v>
      </c>
      <c r="C10">
        <v>16</v>
      </c>
      <c r="D10">
        <v>258</v>
      </c>
      <c r="E10">
        <v>427</v>
      </c>
      <c r="F10">
        <f t="shared" si="0"/>
        <v>258</v>
      </c>
      <c r="G10">
        <f t="shared" si="1"/>
        <v>443</v>
      </c>
      <c r="H10">
        <f t="shared" si="2"/>
        <v>339</v>
      </c>
      <c r="I10">
        <f t="shared" si="3"/>
        <v>443</v>
      </c>
      <c r="J10">
        <f t="shared" si="3"/>
        <v>339</v>
      </c>
      <c r="K10">
        <f t="shared" si="4"/>
        <v>427</v>
      </c>
      <c r="L10">
        <f t="shared" si="5"/>
        <v>258</v>
      </c>
      <c r="M10">
        <f t="shared" si="6"/>
        <v>373</v>
      </c>
      <c r="N10">
        <f t="shared" si="7"/>
        <v>258</v>
      </c>
      <c r="O10">
        <f t="shared" si="8"/>
        <v>357</v>
      </c>
      <c r="P10">
        <f t="shared" si="9"/>
        <v>339</v>
      </c>
      <c r="Q10">
        <f t="shared" si="10"/>
        <v>357</v>
      </c>
      <c r="R10">
        <f t="shared" si="11"/>
        <v>339</v>
      </c>
      <c r="S10">
        <f t="shared" si="12"/>
        <v>373</v>
      </c>
      <c r="T10">
        <f t="shared" si="13"/>
        <v>0.215</v>
      </c>
      <c r="U10">
        <f t="shared" si="14"/>
        <v>0.46625</v>
      </c>
      <c r="V10">
        <f t="shared" si="15"/>
        <v>0.215</v>
      </c>
      <c r="W10">
        <f t="shared" si="16"/>
        <v>0.44624999999999998</v>
      </c>
      <c r="X10">
        <f t="shared" si="17"/>
        <v>0.28249999999999997</v>
      </c>
      <c r="Y10">
        <f t="shared" si="18"/>
        <v>0.44624999999999998</v>
      </c>
      <c r="Z10">
        <f t="shared" si="19"/>
        <v>0.28249999999999997</v>
      </c>
      <c r="AA10">
        <f t="shared" si="20"/>
        <v>0.46625</v>
      </c>
      <c r="AB10" t="str">
        <f t="shared" si="21"/>
        <v>[0.46625* imageHeight, 0.215* imageWidth]</v>
      </c>
      <c r="AC10" t="str">
        <f t="shared" si="22"/>
        <v>[0.44625* imageHeight, 0.215* imageWidth]</v>
      </c>
      <c r="AD10" t="str">
        <f t="shared" si="23"/>
        <v>[0.44625* imageHeight, 0.2825* imageWidth]</v>
      </c>
      <c r="AE10" t="str">
        <f t="shared" si="24"/>
        <v>[0.46625* imageHeight, 0.2825* imageWidth]</v>
      </c>
      <c r="AF10" t="str">
        <f t="shared" si="25"/>
        <v>[0.46625* imageHeight, 0.215* imageWidth], [0.44625* imageHeight, 0.215* imageWidth], [0.44625* imageHeight, 0.2825* imageWidth], [0.46625* imageHeight, 0.2825* imageWidth],[0.46625* imageHeight, 0.215* imageWidth]</v>
      </c>
    </row>
    <row r="11" spans="1:32" x14ac:dyDescent="0.2">
      <c r="A11" t="s">
        <v>49</v>
      </c>
      <c r="B11">
        <v>65</v>
      </c>
      <c r="C11">
        <v>189</v>
      </c>
      <c r="D11">
        <v>342</v>
      </c>
      <c r="E11">
        <v>327</v>
      </c>
      <c r="F11">
        <f t="shared" si="0"/>
        <v>342</v>
      </c>
      <c r="G11">
        <f t="shared" si="1"/>
        <v>516</v>
      </c>
      <c r="H11">
        <f t="shared" si="2"/>
        <v>407</v>
      </c>
      <c r="I11">
        <f t="shared" si="3"/>
        <v>516</v>
      </c>
      <c r="J11">
        <f t="shared" si="3"/>
        <v>407</v>
      </c>
      <c r="K11">
        <f t="shared" si="4"/>
        <v>327</v>
      </c>
      <c r="L11">
        <f t="shared" si="5"/>
        <v>342</v>
      </c>
      <c r="M11">
        <f t="shared" si="6"/>
        <v>473</v>
      </c>
      <c r="N11">
        <f t="shared" si="7"/>
        <v>342</v>
      </c>
      <c r="O11">
        <f t="shared" si="8"/>
        <v>284</v>
      </c>
      <c r="P11">
        <f t="shared" si="9"/>
        <v>407</v>
      </c>
      <c r="Q11">
        <f t="shared" si="10"/>
        <v>284</v>
      </c>
      <c r="R11">
        <f t="shared" si="11"/>
        <v>407</v>
      </c>
      <c r="S11">
        <f t="shared" si="12"/>
        <v>473</v>
      </c>
      <c r="T11">
        <f t="shared" si="13"/>
        <v>0.28499999999999998</v>
      </c>
      <c r="U11">
        <f t="shared" si="14"/>
        <v>0.59125000000000005</v>
      </c>
      <c r="V11">
        <f t="shared" si="15"/>
        <v>0.28499999999999998</v>
      </c>
      <c r="W11">
        <f t="shared" si="16"/>
        <v>0.35499999999999998</v>
      </c>
      <c r="X11">
        <f t="shared" si="17"/>
        <v>0.33916666666666667</v>
      </c>
      <c r="Y11">
        <f t="shared" si="18"/>
        <v>0.35499999999999998</v>
      </c>
      <c r="Z11">
        <f t="shared" si="19"/>
        <v>0.33916666666666667</v>
      </c>
      <c r="AA11">
        <f t="shared" si="20"/>
        <v>0.59125000000000005</v>
      </c>
      <c r="AB11" t="str">
        <f t="shared" si="21"/>
        <v>[0.59125* imageHeight, 0.285* imageWidth]</v>
      </c>
      <c r="AC11" t="str">
        <f t="shared" si="22"/>
        <v>[0.355* imageHeight, 0.285* imageWidth]</v>
      </c>
      <c r="AD11" t="str">
        <f t="shared" si="23"/>
        <v>[0.355* imageHeight, 0.339166666666667* imageWidth]</v>
      </c>
      <c r="AE11" t="str">
        <f t="shared" si="24"/>
        <v>[0.59125* imageHeight, 0.339166666666667* imageWidth]</v>
      </c>
      <c r="AF11" t="str">
        <f t="shared" si="25"/>
        <v>[0.59125* imageHeight, 0.285* imageWidth], [0.355* imageHeight, 0.285* imageWidth], [0.355* imageHeight, 0.339166666666667* imageWidth], [0.59125* imageHeight, 0.339166666666667* imageWidth],[0.59125* imageHeight, 0.285* imageWidth]</v>
      </c>
    </row>
    <row r="12" spans="1:32" x14ac:dyDescent="0.2">
      <c r="A12" t="s">
        <v>50</v>
      </c>
      <c r="B12">
        <v>76</v>
      </c>
      <c r="C12">
        <v>131</v>
      </c>
      <c r="D12">
        <v>341</v>
      </c>
      <c r="E12">
        <v>585</v>
      </c>
      <c r="F12">
        <f t="shared" si="0"/>
        <v>341</v>
      </c>
      <c r="G12">
        <f t="shared" si="1"/>
        <v>716</v>
      </c>
      <c r="H12">
        <f t="shared" si="2"/>
        <v>417</v>
      </c>
      <c r="I12">
        <f t="shared" si="3"/>
        <v>716</v>
      </c>
      <c r="J12">
        <f t="shared" si="3"/>
        <v>417</v>
      </c>
      <c r="K12">
        <f t="shared" si="4"/>
        <v>585</v>
      </c>
      <c r="L12">
        <f t="shared" si="5"/>
        <v>341</v>
      </c>
      <c r="M12">
        <f t="shared" si="6"/>
        <v>215</v>
      </c>
      <c r="N12">
        <f t="shared" si="7"/>
        <v>341</v>
      </c>
      <c r="O12">
        <f t="shared" si="8"/>
        <v>84</v>
      </c>
      <c r="P12">
        <f t="shared" si="9"/>
        <v>417</v>
      </c>
      <c r="Q12">
        <f t="shared" si="10"/>
        <v>84</v>
      </c>
      <c r="R12">
        <f t="shared" si="11"/>
        <v>417</v>
      </c>
      <c r="S12">
        <f t="shared" si="12"/>
        <v>215</v>
      </c>
      <c r="T12">
        <f t="shared" si="13"/>
        <v>0.28416666666666668</v>
      </c>
      <c r="U12">
        <f t="shared" si="14"/>
        <v>0.26874999999999999</v>
      </c>
      <c r="V12">
        <f t="shared" si="15"/>
        <v>0.28416666666666668</v>
      </c>
      <c r="W12">
        <f t="shared" si="16"/>
        <v>0.105</v>
      </c>
      <c r="X12">
        <f t="shared" si="17"/>
        <v>0.34749999999999998</v>
      </c>
      <c r="Y12">
        <f t="shared" si="18"/>
        <v>0.105</v>
      </c>
      <c r="Z12">
        <f t="shared" si="19"/>
        <v>0.34749999999999998</v>
      </c>
      <c r="AA12">
        <f t="shared" si="20"/>
        <v>0.26874999999999999</v>
      </c>
      <c r="AB12" t="str">
        <f t="shared" si="21"/>
        <v>[0.26875* imageHeight, 0.284166666666667* imageWidth]</v>
      </c>
      <c r="AC12" t="str">
        <f t="shared" si="22"/>
        <v>[0.105* imageHeight, 0.284166666666667* imageWidth]</v>
      </c>
      <c r="AD12" t="str">
        <f t="shared" si="23"/>
        <v>[0.105* imageHeight, 0.3475* imageWidth]</v>
      </c>
      <c r="AE12" t="str">
        <f t="shared" si="24"/>
        <v>[0.26875* imageHeight, 0.3475* imageWidth]</v>
      </c>
      <c r="AF12" t="str">
        <f t="shared" si="25"/>
        <v>[0.26875* imageHeight, 0.284166666666667* imageWidth], [0.105* imageHeight, 0.284166666666667* imageWidth], [0.105* imageHeight, 0.3475* imageWidth], [0.26875* imageHeight, 0.3475* imageWidth],[0.26875* imageHeight, 0.284166666666667* imageWidth]</v>
      </c>
    </row>
    <row r="13" spans="1:32" x14ac:dyDescent="0.2">
      <c r="A13" t="s">
        <v>51</v>
      </c>
      <c r="B13">
        <v>68</v>
      </c>
      <c r="C13">
        <v>34</v>
      </c>
      <c r="D13">
        <v>270</v>
      </c>
      <c r="E13">
        <v>692</v>
      </c>
      <c r="F13">
        <f t="shared" si="0"/>
        <v>270</v>
      </c>
      <c r="G13">
        <f t="shared" si="1"/>
        <v>726</v>
      </c>
      <c r="H13">
        <f t="shared" si="2"/>
        <v>338</v>
      </c>
      <c r="I13">
        <f t="shared" si="3"/>
        <v>726</v>
      </c>
      <c r="J13">
        <f t="shared" si="3"/>
        <v>338</v>
      </c>
      <c r="K13">
        <f t="shared" si="4"/>
        <v>692</v>
      </c>
      <c r="L13">
        <f t="shared" si="5"/>
        <v>270</v>
      </c>
      <c r="M13">
        <f t="shared" si="6"/>
        <v>108</v>
      </c>
      <c r="N13">
        <f t="shared" si="7"/>
        <v>270</v>
      </c>
      <c r="O13">
        <f t="shared" si="8"/>
        <v>74</v>
      </c>
      <c r="P13">
        <f t="shared" si="9"/>
        <v>338</v>
      </c>
      <c r="Q13">
        <f t="shared" si="10"/>
        <v>74</v>
      </c>
      <c r="R13">
        <f t="shared" si="11"/>
        <v>338</v>
      </c>
      <c r="S13">
        <f t="shared" si="12"/>
        <v>108</v>
      </c>
      <c r="T13">
        <f t="shared" si="13"/>
        <v>0.22500000000000001</v>
      </c>
      <c r="U13">
        <f t="shared" si="14"/>
        <v>0.13500000000000001</v>
      </c>
      <c r="V13">
        <f t="shared" si="15"/>
        <v>0.22500000000000001</v>
      </c>
      <c r="W13">
        <f t="shared" si="16"/>
        <v>9.2499999999999999E-2</v>
      </c>
      <c r="X13">
        <f t="shared" si="17"/>
        <v>0.28166666666666668</v>
      </c>
      <c r="Y13">
        <f t="shared" si="18"/>
        <v>9.2499999999999999E-2</v>
      </c>
      <c r="Z13">
        <f t="shared" si="19"/>
        <v>0.28166666666666668</v>
      </c>
      <c r="AA13">
        <f t="shared" si="20"/>
        <v>0.13500000000000001</v>
      </c>
      <c r="AB13" t="str">
        <f t="shared" si="21"/>
        <v>[0.135* imageHeight, 0.225* imageWidth]</v>
      </c>
      <c r="AC13" t="str">
        <f t="shared" si="22"/>
        <v>[0.0925* imageHeight, 0.225* imageWidth]</v>
      </c>
      <c r="AD13" t="str">
        <f t="shared" si="23"/>
        <v>[0.0925* imageHeight, 0.281666666666667* imageWidth]</v>
      </c>
      <c r="AE13" t="str">
        <f t="shared" si="24"/>
        <v>[0.135* imageHeight, 0.281666666666667* imageWidth]</v>
      </c>
      <c r="AF13" t="str">
        <f t="shared" si="25"/>
        <v>[0.135* imageHeight, 0.225* imageWidth], [0.0925* imageHeight, 0.225* imageWidth], [0.0925* imageHeight, 0.281666666666667* imageWidth], [0.135* imageHeight, 0.281666666666667* imageWidth],[0.135* imageHeight, 0.225* imageWidth]</v>
      </c>
    </row>
    <row r="14" spans="1:32" x14ac:dyDescent="0.2">
      <c r="A14" t="s">
        <v>52</v>
      </c>
      <c r="B14">
        <v>91</v>
      </c>
      <c r="C14">
        <v>31</v>
      </c>
      <c r="D14">
        <v>175</v>
      </c>
      <c r="E14">
        <v>700</v>
      </c>
      <c r="F14">
        <f t="shared" si="0"/>
        <v>175</v>
      </c>
      <c r="G14">
        <f t="shared" si="1"/>
        <v>731</v>
      </c>
      <c r="H14">
        <f t="shared" si="2"/>
        <v>266</v>
      </c>
      <c r="I14">
        <f t="shared" si="3"/>
        <v>731</v>
      </c>
      <c r="J14">
        <f t="shared" si="3"/>
        <v>266</v>
      </c>
      <c r="K14">
        <f t="shared" si="4"/>
        <v>700</v>
      </c>
      <c r="L14">
        <f t="shared" si="5"/>
        <v>175</v>
      </c>
      <c r="M14">
        <f t="shared" si="6"/>
        <v>100</v>
      </c>
      <c r="N14">
        <f t="shared" si="7"/>
        <v>175</v>
      </c>
      <c r="O14">
        <f t="shared" si="8"/>
        <v>69</v>
      </c>
      <c r="P14">
        <f t="shared" si="9"/>
        <v>266</v>
      </c>
      <c r="Q14">
        <f t="shared" si="10"/>
        <v>69</v>
      </c>
      <c r="R14">
        <f t="shared" si="11"/>
        <v>266</v>
      </c>
      <c r="S14">
        <f t="shared" si="12"/>
        <v>100</v>
      </c>
      <c r="T14">
        <f t="shared" si="13"/>
        <v>0.14583333333333334</v>
      </c>
      <c r="U14">
        <f t="shared" si="14"/>
        <v>0.125</v>
      </c>
      <c r="V14">
        <f t="shared" si="15"/>
        <v>0.14583333333333334</v>
      </c>
      <c r="W14">
        <f t="shared" si="16"/>
        <v>8.6249999999999993E-2</v>
      </c>
      <c r="X14">
        <f t="shared" si="17"/>
        <v>0.22166666666666668</v>
      </c>
      <c r="Y14">
        <f t="shared" si="18"/>
        <v>8.6249999999999993E-2</v>
      </c>
      <c r="Z14">
        <f t="shared" si="19"/>
        <v>0.22166666666666668</v>
      </c>
      <c r="AA14">
        <f t="shared" si="20"/>
        <v>0.125</v>
      </c>
      <c r="AB14" t="str">
        <f t="shared" si="21"/>
        <v>[0.125* imageHeight, 0.145833333333333* imageWidth]</v>
      </c>
      <c r="AC14" t="str">
        <f t="shared" si="22"/>
        <v>[0.08625* imageHeight, 0.145833333333333* imageWidth]</v>
      </c>
      <c r="AD14" t="str">
        <f t="shared" si="23"/>
        <v>[0.08625* imageHeight, 0.221666666666667* imageWidth]</v>
      </c>
      <c r="AE14" t="str">
        <f t="shared" si="24"/>
        <v>[0.125* imageHeight, 0.221666666666667* imageWidth]</v>
      </c>
      <c r="AF14" t="str">
        <f t="shared" si="25"/>
        <v>[0.125* imageHeight, 0.145833333333333* imageWidth], [0.08625* imageHeight, 0.145833333333333* imageWidth], [0.08625* imageHeight, 0.221666666666667* imageWidth], [0.125* imageHeight, 0.221666666666667* imageWidth],[0.125* imageHeight, 0.145833333333333* imageWidth]</v>
      </c>
    </row>
    <row r="15" spans="1:32" x14ac:dyDescent="0.2">
      <c r="A15" t="s">
        <v>53</v>
      </c>
      <c r="B15">
        <v>143</v>
      </c>
      <c r="C15">
        <v>36</v>
      </c>
      <c r="D15">
        <v>37</v>
      </c>
      <c r="E15">
        <v>639</v>
      </c>
      <c r="F15">
        <f t="shared" si="0"/>
        <v>37</v>
      </c>
      <c r="G15">
        <f t="shared" si="1"/>
        <v>675</v>
      </c>
      <c r="H15">
        <f t="shared" si="2"/>
        <v>180</v>
      </c>
      <c r="I15">
        <f t="shared" si="3"/>
        <v>675</v>
      </c>
      <c r="J15">
        <f t="shared" si="3"/>
        <v>180</v>
      </c>
      <c r="K15">
        <f t="shared" si="4"/>
        <v>639</v>
      </c>
      <c r="L15">
        <f t="shared" si="5"/>
        <v>37</v>
      </c>
      <c r="M15">
        <f t="shared" si="6"/>
        <v>161</v>
      </c>
      <c r="N15">
        <f t="shared" si="7"/>
        <v>37</v>
      </c>
      <c r="O15">
        <f t="shared" si="8"/>
        <v>125</v>
      </c>
      <c r="P15">
        <f t="shared" si="9"/>
        <v>180</v>
      </c>
      <c r="Q15">
        <f t="shared" si="10"/>
        <v>125</v>
      </c>
      <c r="R15">
        <f t="shared" si="11"/>
        <v>180</v>
      </c>
      <c r="S15">
        <f t="shared" si="12"/>
        <v>161</v>
      </c>
      <c r="T15">
        <f t="shared" si="13"/>
        <v>3.0833333333333334E-2</v>
      </c>
      <c r="U15">
        <f t="shared" si="14"/>
        <v>0.20125000000000001</v>
      </c>
      <c r="V15">
        <f t="shared" si="15"/>
        <v>3.0833333333333334E-2</v>
      </c>
      <c r="W15">
        <f t="shared" si="16"/>
        <v>0.15625</v>
      </c>
      <c r="X15">
        <f t="shared" si="17"/>
        <v>0.15</v>
      </c>
      <c r="Y15">
        <f t="shared" si="18"/>
        <v>0.15625</v>
      </c>
      <c r="Z15">
        <f t="shared" si="19"/>
        <v>0.15</v>
      </c>
      <c r="AA15">
        <f t="shared" si="20"/>
        <v>0.20125000000000001</v>
      </c>
      <c r="AB15" t="str">
        <f t="shared" si="21"/>
        <v>[0.20125* imageHeight, 0.0308333333333333* imageWidth]</v>
      </c>
      <c r="AC15" t="str">
        <f t="shared" si="22"/>
        <v>[0.15625* imageHeight, 0.0308333333333333* imageWidth]</v>
      </c>
      <c r="AD15" t="str">
        <f t="shared" si="23"/>
        <v>[0.15625* imageHeight, 0.15* imageWidth]</v>
      </c>
      <c r="AE15" t="str">
        <f t="shared" si="24"/>
        <v>[0.20125* imageHeight, 0.15* imageWidth]</v>
      </c>
      <c r="AF15" t="str">
        <f t="shared" si="25"/>
        <v>[0.20125* imageHeight, 0.0308333333333333* imageWidth], [0.15625* imageHeight, 0.0308333333333333* imageWidth], [0.15625* imageHeight, 0.15* imageWidth], [0.20125* imageHeight, 0.15* imageWidth],[0.20125* imageHeight, 0.0308333333333333* imageWidth]</v>
      </c>
    </row>
    <row r="16" spans="1:32" x14ac:dyDescent="0.2">
      <c r="A16" t="s">
        <v>54</v>
      </c>
      <c r="B16">
        <v>22</v>
      </c>
      <c r="C16">
        <v>42</v>
      </c>
      <c r="D16">
        <v>149</v>
      </c>
      <c r="E16">
        <v>674</v>
      </c>
      <c r="F16">
        <f t="shared" si="0"/>
        <v>149</v>
      </c>
      <c r="G16">
        <f t="shared" si="1"/>
        <v>716</v>
      </c>
      <c r="H16">
        <f t="shared" si="2"/>
        <v>171</v>
      </c>
      <c r="I16">
        <f t="shared" si="3"/>
        <v>716</v>
      </c>
      <c r="J16">
        <f t="shared" si="3"/>
        <v>171</v>
      </c>
      <c r="K16">
        <f t="shared" si="4"/>
        <v>674</v>
      </c>
      <c r="L16">
        <f t="shared" si="5"/>
        <v>149</v>
      </c>
      <c r="M16">
        <f t="shared" si="6"/>
        <v>126</v>
      </c>
      <c r="N16">
        <f t="shared" si="7"/>
        <v>149</v>
      </c>
      <c r="O16">
        <f t="shared" si="8"/>
        <v>84</v>
      </c>
      <c r="P16">
        <f t="shared" si="9"/>
        <v>171</v>
      </c>
      <c r="Q16">
        <f t="shared" si="10"/>
        <v>84</v>
      </c>
      <c r="R16">
        <f t="shared" si="11"/>
        <v>171</v>
      </c>
      <c r="S16">
        <f t="shared" si="12"/>
        <v>126</v>
      </c>
      <c r="T16">
        <f t="shared" si="13"/>
        <v>0.12416666666666666</v>
      </c>
      <c r="U16">
        <f t="shared" si="14"/>
        <v>0.1575</v>
      </c>
      <c r="V16">
        <f t="shared" si="15"/>
        <v>0.12416666666666666</v>
      </c>
      <c r="W16">
        <f t="shared" si="16"/>
        <v>0.105</v>
      </c>
      <c r="X16">
        <f t="shared" si="17"/>
        <v>0.14249999999999999</v>
      </c>
      <c r="Y16">
        <f t="shared" si="18"/>
        <v>0.105</v>
      </c>
      <c r="Z16">
        <f t="shared" si="19"/>
        <v>0.14249999999999999</v>
      </c>
      <c r="AA16">
        <f t="shared" si="20"/>
        <v>0.1575</v>
      </c>
      <c r="AB16" t="str">
        <f t="shared" si="21"/>
        <v>[0.1575* imageHeight, 0.124166666666667* imageWidth]</v>
      </c>
      <c r="AC16" t="str">
        <f t="shared" si="22"/>
        <v>[0.105* imageHeight, 0.124166666666667* imageWidth]</v>
      </c>
      <c r="AD16" t="str">
        <f t="shared" si="23"/>
        <v>[0.105* imageHeight, 0.1425* imageWidth]</v>
      </c>
      <c r="AE16" t="str">
        <f t="shared" si="24"/>
        <v>[0.1575* imageHeight, 0.1425* imageWidth]</v>
      </c>
      <c r="AF16" t="str">
        <f t="shared" si="25"/>
        <v>[0.1575* imageHeight, 0.124166666666667* imageWidth], [0.105* imageHeight, 0.124166666666667* imageWidth], [0.105* imageHeight, 0.1425* imageWidth], [0.1575* imageHeight, 0.1425* imageWidth],[0.1575* imageHeight, 0.124166666666667* imageWidth]</v>
      </c>
    </row>
    <row r="17" spans="1:32" x14ac:dyDescent="0.2">
      <c r="A17" t="s">
        <v>55</v>
      </c>
      <c r="B17">
        <v>54</v>
      </c>
      <c r="C17">
        <v>103</v>
      </c>
      <c r="D17">
        <v>48</v>
      </c>
      <c r="E17">
        <v>534</v>
      </c>
      <c r="F17">
        <f t="shared" si="0"/>
        <v>48</v>
      </c>
      <c r="G17">
        <f t="shared" si="1"/>
        <v>637</v>
      </c>
      <c r="H17">
        <f t="shared" si="2"/>
        <v>102</v>
      </c>
      <c r="I17">
        <f t="shared" si="3"/>
        <v>637</v>
      </c>
      <c r="J17">
        <f t="shared" si="3"/>
        <v>102</v>
      </c>
      <c r="K17">
        <f t="shared" si="4"/>
        <v>534</v>
      </c>
      <c r="L17">
        <f t="shared" si="5"/>
        <v>48</v>
      </c>
      <c r="M17">
        <f t="shared" si="6"/>
        <v>266</v>
      </c>
      <c r="N17">
        <f t="shared" si="7"/>
        <v>48</v>
      </c>
      <c r="O17">
        <f t="shared" si="8"/>
        <v>163</v>
      </c>
      <c r="P17">
        <f t="shared" si="9"/>
        <v>102</v>
      </c>
      <c r="Q17">
        <f t="shared" si="10"/>
        <v>163</v>
      </c>
      <c r="R17">
        <f t="shared" si="11"/>
        <v>102</v>
      </c>
      <c r="S17">
        <f t="shared" si="12"/>
        <v>266</v>
      </c>
      <c r="T17">
        <f t="shared" si="13"/>
        <v>0.04</v>
      </c>
      <c r="U17">
        <f t="shared" si="14"/>
        <v>0.33250000000000002</v>
      </c>
      <c r="V17">
        <f t="shared" si="15"/>
        <v>0.04</v>
      </c>
      <c r="W17">
        <f t="shared" si="16"/>
        <v>0.20374999999999999</v>
      </c>
      <c r="X17">
        <f t="shared" si="17"/>
        <v>8.5000000000000006E-2</v>
      </c>
      <c r="Y17">
        <f t="shared" si="18"/>
        <v>0.20374999999999999</v>
      </c>
      <c r="Z17">
        <f t="shared" si="19"/>
        <v>8.5000000000000006E-2</v>
      </c>
      <c r="AA17">
        <f t="shared" si="20"/>
        <v>0.33250000000000002</v>
      </c>
      <c r="AB17" t="str">
        <f t="shared" si="21"/>
        <v>[0.3325* imageHeight, 0.04* imageWidth]</v>
      </c>
      <c r="AC17" t="str">
        <f t="shared" si="22"/>
        <v>[0.20375* imageHeight, 0.04* imageWidth]</v>
      </c>
      <c r="AD17" t="str">
        <f t="shared" si="23"/>
        <v>[0.20375* imageHeight, 0.085* imageWidth]</v>
      </c>
      <c r="AE17" t="str">
        <f t="shared" si="24"/>
        <v>[0.3325* imageHeight, 0.085* imageWidth]</v>
      </c>
      <c r="AF17" t="str">
        <f t="shared" si="25"/>
        <v>[0.3325* imageHeight, 0.04* imageWidth], [0.20375* imageHeight, 0.04* imageWidth], [0.20375* imageHeight, 0.085* imageWidth], [0.3325* imageHeight, 0.085* imageWidth],[0.3325* imageHeight, 0.04* imageWidth]</v>
      </c>
    </row>
    <row r="18" spans="1:32" x14ac:dyDescent="0.2">
      <c r="A18" t="s">
        <v>56</v>
      </c>
      <c r="B18">
        <v>99</v>
      </c>
      <c r="C18">
        <v>32</v>
      </c>
      <c r="D18">
        <v>262</v>
      </c>
      <c r="E18">
        <v>287</v>
      </c>
      <c r="F18">
        <f t="shared" si="0"/>
        <v>262</v>
      </c>
      <c r="G18">
        <f t="shared" si="1"/>
        <v>319</v>
      </c>
      <c r="H18">
        <f t="shared" si="2"/>
        <v>361</v>
      </c>
      <c r="I18">
        <f t="shared" si="3"/>
        <v>319</v>
      </c>
      <c r="J18">
        <f t="shared" si="3"/>
        <v>361</v>
      </c>
      <c r="K18">
        <f t="shared" si="4"/>
        <v>287</v>
      </c>
      <c r="L18">
        <f t="shared" si="5"/>
        <v>262</v>
      </c>
      <c r="M18">
        <f t="shared" si="6"/>
        <v>513</v>
      </c>
      <c r="N18">
        <f t="shared" si="7"/>
        <v>262</v>
      </c>
      <c r="O18">
        <f t="shared" si="8"/>
        <v>481</v>
      </c>
      <c r="P18">
        <f t="shared" si="9"/>
        <v>361</v>
      </c>
      <c r="Q18">
        <f t="shared" si="10"/>
        <v>481</v>
      </c>
      <c r="R18">
        <f t="shared" si="11"/>
        <v>361</v>
      </c>
      <c r="S18">
        <f t="shared" si="12"/>
        <v>513</v>
      </c>
      <c r="T18">
        <f t="shared" si="13"/>
        <v>0.21833333333333332</v>
      </c>
      <c r="U18">
        <f t="shared" si="14"/>
        <v>0.64124999999999999</v>
      </c>
      <c r="V18">
        <f t="shared" si="15"/>
        <v>0.21833333333333332</v>
      </c>
      <c r="W18">
        <f t="shared" si="16"/>
        <v>0.60124999999999995</v>
      </c>
      <c r="X18">
        <f t="shared" si="17"/>
        <v>0.30083333333333334</v>
      </c>
      <c r="Y18">
        <f t="shared" si="18"/>
        <v>0.60124999999999995</v>
      </c>
      <c r="Z18">
        <f t="shared" si="19"/>
        <v>0.30083333333333334</v>
      </c>
      <c r="AA18">
        <f t="shared" si="20"/>
        <v>0.64124999999999999</v>
      </c>
      <c r="AB18" t="str">
        <f t="shared" si="21"/>
        <v>[0.64125* imageHeight, 0.218333333333333* imageWidth]</v>
      </c>
      <c r="AC18" t="str">
        <f t="shared" si="22"/>
        <v>[0.60125* imageHeight, 0.218333333333333* imageWidth]</v>
      </c>
      <c r="AD18" t="str">
        <f t="shared" si="23"/>
        <v>[0.60125* imageHeight, 0.300833333333333* imageWidth]</v>
      </c>
      <c r="AE18" t="str">
        <f t="shared" si="24"/>
        <v>[0.64125* imageHeight, 0.300833333333333* imageWidth]</v>
      </c>
      <c r="AF18" t="str">
        <f t="shared" si="25"/>
        <v>[0.64125* imageHeight, 0.218333333333333* imageWidth], [0.60125* imageHeight, 0.218333333333333* imageWidth], [0.60125* imageHeight, 0.300833333333333* imageWidth], [0.64125* imageHeight, 0.300833333333333* imageWidth],[0.64125* imageHeight, 0.218333333333333* imageWidth]</v>
      </c>
    </row>
    <row r="19" spans="1:32" x14ac:dyDescent="0.2">
      <c r="A19" t="s">
        <v>57</v>
      </c>
      <c r="B19">
        <v>67</v>
      </c>
      <c r="C19">
        <v>225</v>
      </c>
      <c r="D19">
        <v>374</v>
      </c>
      <c r="E19">
        <v>64</v>
      </c>
      <c r="F19">
        <f t="shared" si="0"/>
        <v>374</v>
      </c>
      <c r="G19">
        <f t="shared" si="1"/>
        <v>289</v>
      </c>
      <c r="H19">
        <f t="shared" si="2"/>
        <v>441</v>
      </c>
      <c r="I19">
        <f t="shared" si="3"/>
        <v>289</v>
      </c>
      <c r="J19">
        <f t="shared" si="3"/>
        <v>441</v>
      </c>
      <c r="K19">
        <f t="shared" si="4"/>
        <v>64</v>
      </c>
      <c r="L19">
        <f t="shared" si="5"/>
        <v>374</v>
      </c>
      <c r="M19">
        <f t="shared" si="6"/>
        <v>736</v>
      </c>
      <c r="N19">
        <f t="shared" si="7"/>
        <v>374</v>
      </c>
      <c r="O19">
        <f t="shared" si="8"/>
        <v>511</v>
      </c>
      <c r="P19">
        <f t="shared" si="9"/>
        <v>441</v>
      </c>
      <c r="Q19">
        <f t="shared" si="10"/>
        <v>511</v>
      </c>
      <c r="R19">
        <f t="shared" si="11"/>
        <v>441</v>
      </c>
      <c r="S19">
        <f t="shared" si="12"/>
        <v>736</v>
      </c>
      <c r="T19">
        <f t="shared" si="13"/>
        <v>0.31166666666666665</v>
      </c>
      <c r="U19">
        <f t="shared" si="14"/>
        <v>0.92</v>
      </c>
      <c r="V19">
        <f t="shared" si="15"/>
        <v>0.31166666666666665</v>
      </c>
      <c r="W19">
        <f t="shared" si="16"/>
        <v>0.63875000000000004</v>
      </c>
      <c r="X19">
        <f t="shared" si="17"/>
        <v>0.36749999999999999</v>
      </c>
      <c r="Y19">
        <f t="shared" si="18"/>
        <v>0.63875000000000004</v>
      </c>
      <c r="Z19">
        <f t="shared" si="19"/>
        <v>0.36749999999999999</v>
      </c>
      <c r="AA19">
        <f t="shared" si="20"/>
        <v>0.92</v>
      </c>
      <c r="AB19" t="str">
        <f t="shared" si="21"/>
        <v>[0.92* imageHeight, 0.311666666666667* imageWidth]</v>
      </c>
      <c r="AC19" t="str">
        <f t="shared" si="22"/>
        <v>[0.63875* imageHeight, 0.311666666666667* imageWidth]</v>
      </c>
      <c r="AD19" t="str">
        <f t="shared" si="23"/>
        <v>[0.63875* imageHeight, 0.3675* imageWidth]</v>
      </c>
      <c r="AE19" t="str">
        <f t="shared" si="24"/>
        <v>[0.92* imageHeight, 0.3675* imageWidth]</v>
      </c>
      <c r="AF19" t="str">
        <f t="shared" si="25"/>
        <v>[0.92* imageHeight, 0.311666666666667* imageWidth], [0.63875* imageHeight, 0.311666666666667* imageWidth], [0.63875* imageHeight, 0.3675* imageWidth], [0.92* imageHeight, 0.3675* imageWidth],[0.92* imageHeight, 0.311666666666667* imageWidth]</v>
      </c>
    </row>
    <row r="20" spans="1:32" x14ac:dyDescent="0.2">
      <c r="A20" t="s">
        <v>58</v>
      </c>
      <c r="B20">
        <v>26</v>
      </c>
      <c r="C20">
        <v>78</v>
      </c>
      <c r="D20">
        <v>346</v>
      </c>
      <c r="E20">
        <v>100</v>
      </c>
      <c r="F20">
        <f t="shared" si="0"/>
        <v>346</v>
      </c>
      <c r="G20">
        <f t="shared" si="1"/>
        <v>178</v>
      </c>
      <c r="H20">
        <f t="shared" si="2"/>
        <v>372</v>
      </c>
      <c r="I20">
        <f t="shared" si="3"/>
        <v>178</v>
      </c>
      <c r="J20">
        <f t="shared" si="3"/>
        <v>372</v>
      </c>
      <c r="K20">
        <f t="shared" si="4"/>
        <v>100</v>
      </c>
      <c r="L20">
        <f t="shared" si="5"/>
        <v>346</v>
      </c>
      <c r="M20">
        <f t="shared" si="6"/>
        <v>700</v>
      </c>
      <c r="N20">
        <f t="shared" si="7"/>
        <v>346</v>
      </c>
      <c r="O20">
        <f t="shared" si="8"/>
        <v>622</v>
      </c>
      <c r="P20">
        <f t="shared" si="9"/>
        <v>372</v>
      </c>
      <c r="Q20">
        <f t="shared" si="10"/>
        <v>622</v>
      </c>
      <c r="R20">
        <f t="shared" si="11"/>
        <v>372</v>
      </c>
      <c r="S20">
        <f t="shared" si="12"/>
        <v>700</v>
      </c>
      <c r="T20">
        <f t="shared" si="13"/>
        <v>0.28833333333333333</v>
      </c>
      <c r="U20">
        <f t="shared" si="14"/>
        <v>0.875</v>
      </c>
      <c r="V20">
        <f t="shared" si="15"/>
        <v>0.28833333333333333</v>
      </c>
      <c r="W20">
        <f t="shared" si="16"/>
        <v>0.77749999999999997</v>
      </c>
      <c r="X20">
        <f t="shared" si="17"/>
        <v>0.31</v>
      </c>
      <c r="Y20">
        <f t="shared" si="18"/>
        <v>0.77749999999999997</v>
      </c>
      <c r="Z20">
        <f t="shared" si="19"/>
        <v>0.31</v>
      </c>
      <c r="AA20">
        <f t="shared" si="20"/>
        <v>0.875</v>
      </c>
      <c r="AB20" t="str">
        <f t="shared" si="21"/>
        <v>[0.875* imageHeight, 0.288333333333333* imageWidth]</v>
      </c>
      <c r="AC20" t="str">
        <f t="shared" si="22"/>
        <v>[0.7775* imageHeight, 0.288333333333333* imageWidth]</v>
      </c>
      <c r="AD20" t="str">
        <f t="shared" si="23"/>
        <v>[0.7775* imageHeight, 0.31* imageWidth]</v>
      </c>
      <c r="AE20" t="str">
        <f t="shared" si="24"/>
        <v>[0.875* imageHeight, 0.31* imageWidth]</v>
      </c>
      <c r="AF20" t="str">
        <f t="shared" si="25"/>
        <v>[0.875* imageHeight, 0.288333333333333* imageWidth], [0.7775* imageHeight, 0.288333333333333* imageWidth], [0.7775* imageHeight, 0.31* imageWidth], [0.875* imageHeight, 0.31* imageWidth],[0.875* imageHeight, 0.288333333333333* imageWidth]</v>
      </c>
    </row>
    <row r="21" spans="1:32" x14ac:dyDescent="0.2">
      <c r="A21" t="s">
        <v>59</v>
      </c>
      <c r="B21">
        <v>43</v>
      </c>
      <c r="C21">
        <v>30</v>
      </c>
      <c r="D21">
        <v>303</v>
      </c>
      <c r="E21">
        <v>156</v>
      </c>
      <c r="F21">
        <f t="shared" si="0"/>
        <v>303</v>
      </c>
      <c r="G21">
        <f t="shared" si="1"/>
        <v>186</v>
      </c>
      <c r="H21">
        <f t="shared" si="2"/>
        <v>346</v>
      </c>
      <c r="I21">
        <f t="shared" si="3"/>
        <v>186</v>
      </c>
      <c r="J21">
        <f t="shared" si="3"/>
        <v>346</v>
      </c>
      <c r="K21">
        <f t="shared" si="4"/>
        <v>156</v>
      </c>
      <c r="L21">
        <f t="shared" si="5"/>
        <v>303</v>
      </c>
      <c r="M21">
        <f t="shared" si="6"/>
        <v>644</v>
      </c>
      <c r="N21">
        <f t="shared" si="7"/>
        <v>303</v>
      </c>
      <c r="O21">
        <f t="shared" si="8"/>
        <v>614</v>
      </c>
      <c r="P21">
        <f t="shared" si="9"/>
        <v>346</v>
      </c>
      <c r="Q21">
        <f t="shared" si="10"/>
        <v>614</v>
      </c>
      <c r="R21">
        <f t="shared" si="11"/>
        <v>346</v>
      </c>
      <c r="S21">
        <f t="shared" si="12"/>
        <v>644</v>
      </c>
      <c r="T21">
        <f t="shared" si="13"/>
        <v>0.2525</v>
      </c>
      <c r="U21">
        <f t="shared" si="14"/>
        <v>0.80500000000000005</v>
      </c>
      <c r="V21">
        <f t="shared" si="15"/>
        <v>0.2525</v>
      </c>
      <c r="W21">
        <f t="shared" si="16"/>
        <v>0.76749999999999996</v>
      </c>
      <c r="X21">
        <f t="shared" si="17"/>
        <v>0.28833333333333333</v>
      </c>
      <c r="Y21">
        <f t="shared" si="18"/>
        <v>0.76749999999999996</v>
      </c>
      <c r="Z21">
        <f t="shared" si="19"/>
        <v>0.28833333333333333</v>
      </c>
      <c r="AA21">
        <f t="shared" si="20"/>
        <v>0.80500000000000005</v>
      </c>
      <c r="AB21" t="str">
        <f t="shared" si="21"/>
        <v>[0.805* imageHeight, 0.2525* imageWidth]</v>
      </c>
      <c r="AC21" t="str">
        <f t="shared" si="22"/>
        <v>[0.7675* imageHeight, 0.2525* imageWidth]</v>
      </c>
      <c r="AD21" t="str">
        <f t="shared" si="23"/>
        <v>[0.7675* imageHeight, 0.288333333333333* imageWidth]</v>
      </c>
      <c r="AE21" t="str">
        <f t="shared" si="24"/>
        <v>[0.805* imageHeight, 0.288333333333333* imageWidth]</v>
      </c>
      <c r="AF21" t="str">
        <f t="shared" si="25"/>
        <v>[0.805* imageHeight, 0.2525* imageWidth], [0.7675* imageHeight, 0.2525* imageWidth], [0.7675* imageHeight, 0.288333333333333* imageWidth], [0.805* imageHeight, 0.288333333333333* imageWidth],[0.805* imageHeight, 0.2525* imageWidth]</v>
      </c>
    </row>
    <row r="22" spans="1:32" x14ac:dyDescent="0.2">
      <c r="A22" t="s">
        <v>60</v>
      </c>
      <c r="B22">
        <v>20</v>
      </c>
      <c r="C22">
        <v>26</v>
      </c>
      <c r="D22">
        <v>277</v>
      </c>
      <c r="E22">
        <v>135</v>
      </c>
      <c r="F22">
        <f t="shared" si="0"/>
        <v>277</v>
      </c>
      <c r="G22">
        <f t="shared" si="1"/>
        <v>161</v>
      </c>
      <c r="H22">
        <f t="shared" si="2"/>
        <v>297</v>
      </c>
      <c r="I22">
        <f t="shared" si="3"/>
        <v>161</v>
      </c>
      <c r="J22">
        <f t="shared" si="3"/>
        <v>297</v>
      </c>
      <c r="K22">
        <f t="shared" si="4"/>
        <v>135</v>
      </c>
      <c r="L22">
        <f t="shared" si="5"/>
        <v>277</v>
      </c>
      <c r="M22">
        <f t="shared" si="6"/>
        <v>665</v>
      </c>
      <c r="N22">
        <f t="shared" si="7"/>
        <v>277</v>
      </c>
      <c r="O22">
        <f t="shared" si="8"/>
        <v>639</v>
      </c>
      <c r="P22">
        <f t="shared" si="9"/>
        <v>297</v>
      </c>
      <c r="Q22">
        <f t="shared" si="10"/>
        <v>639</v>
      </c>
      <c r="R22">
        <f t="shared" si="11"/>
        <v>297</v>
      </c>
      <c r="S22">
        <f t="shared" si="12"/>
        <v>665</v>
      </c>
      <c r="T22">
        <f t="shared" si="13"/>
        <v>0.23083333333333333</v>
      </c>
      <c r="U22">
        <f t="shared" si="14"/>
        <v>0.83125000000000004</v>
      </c>
      <c r="V22">
        <f t="shared" si="15"/>
        <v>0.23083333333333333</v>
      </c>
      <c r="W22">
        <f t="shared" si="16"/>
        <v>0.79874999999999996</v>
      </c>
      <c r="X22">
        <f t="shared" si="17"/>
        <v>0.2475</v>
      </c>
      <c r="Y22">
        <f t="shared" si="18"/>
        <v>0.79874999999999996</v>
      </c>
      <c r="Z22">
        <f t="shared" si="19"/>
        <v>0.2475</v>
      </c>
      <c r="AA22">
        <f t="shared" si="20"/>
        <v>0.83125000000000004</v>
      </c>
      <c r="AB22" t="str">
        <f t="shared" si="21"/>
        <v>[0.83125* imageHeight, 0.230833333333333* imageWidth]</v>
      </c>
      <c r="AC22" t="str">
        <f t="shared" si="22"/>
        <v>[0.79875* imageHeight, 0.230833333333333* imageWidth]</v>
      </c>
      <c r="AD22" t="str">
        <f t="shared" si="23"/>
        <v>[0.79875* imageHeight, 0.2475* imageWidth]</v>
      </c>
      <c r="AE22" t="str">
        <f t="shared" si="24"/>
        <v>[0.83125* imageHeight, 0.2475* imageWidth]</v>
      </c>
      <c r="AF22" t="str">
        <f t="shared" si="25"/>
        <v>[0.83125* imageHeight, 0.230833333333333* imageWidth], [0.79875* imageHeight, 0.230833333333333* imageWidth], [0.79875* imageHeight, 0.2475* imageWidth], [0.83125* imageHeight, 0.2475* imageWidth],[0.83125* imageHeight, 0.230833333333333* imageWidth]</v>
      </c>
    </row>
    <row r="23" spans="1:32" x14ac:dyDescent="0.2">
      <c r="A23" t="s">
        <v>62</v>
      </c>
      <c r="B23">
        <v>140</v>
      </c>
      <c r="C23">
        <v>19</v>
      </c>
      <c r="D23">
        <v>233</v>
      </c>
      <c r="E23">
        <v>62</v>
      </c>
      <c r="F23">
        <f t="shared" si="0"/>
        <v>233</v>
      </c>
      <c r="G23">
        <f t="shared" si="1"/>
        <v>81</v>
      </c>
      <c r="H23">
        <f t="shared" si="2"/>
        <v>373</v>
      </c>
      <c r="I23">
        <f t="shared" si="3"/>
        <v>81</v>
      </c>
      <c r="J23">
        <f t="shared" si="3"/>
        <v>373</v>
      </c>
      <c r="K23">
        <f t="shared" si="4"/>
        <v>62</v>
      </c>
      <c r="L23">
        <f t="shared" si="5"/>
        <v>233</v>
      </c>
      <c r="M23">
        <f t="shared" si="6"/>
        <v>738</v>
      </c>
      <c r="N23">
        <f t="shared" si="7"/>
        <v>233</v>
      </c>
      <c r="O23">
        <f t="shared" si="8"/>
        <v>719</v>
      </c>
      <c r="P23">
        <f t="shared" si="9"/>
        <v>373</v>
      </c>
      <c r="Q23">
        <f t="shared" si="10"/>
        <v>719</v>
      </c>
      <c r="R23">
        <f t="shared" si="11"/>
        <v>373</v>
      </c>
      <c r="S23">
        <f t="shared" si="12"/>
        <v>738</v>
      </c>
      <c r="T23">
        <f t="shared" si="13"/>
        <v>0.19416666666666665</v>
      </c>
      <c r="U23">
        <f t="shared" si="14"/>
        <v>0.92249999999999999</v>
      </c>
      <c r="V23">
        <f t="shared" si="15"/>
        <v>0.19416666666666665</v>
      </c>
      <c r="W23">
        <f t="shared" si="16"/>
        <v>0.89875000000000005</v>
      </c>
      <c r="X23">
        <f t="shared" si="17"/>
        <v>0.31083333333333335</v>
      </c>
      <c r="Y23">
        <f t="shared" si="18"/>
        <v>0.89875000000000005</v>
      </c>
      <c r="Z23">
        <f t="shared" si="19"/>
        <v>0.31083333333333335</v>
      </c>
      <c r="AA23">
        <f t="shared" si="20"/>
        <v>0.92249999999999999</v>
      </c>
      <c r="AB23" t="str">
        <f t="shared" si="21"/>
        <v>[0.9225* imageHeight, 0.194166666666667* imageWidth]</v>
      </c>
      <c r="AC23" t="str">
        <f t="shared" si="22"/>
        <v>[0.89875* imageHeight, 0.194166666666667* imageWidth]</v>
      </c>
      <c r="AD23" t="str">
        <f t="shared" si="23"/>
        <v>[0.89875* imageHeight, 0.310833333333333* imageWidth]</v>
      </c>
      <c r="AE23" t="str">
        <f t="shared" si="24"/>
        <v>[0.9225* imageHeight, 0.310833333333333* imageWidth]</v>
      </c>
      <c r="AF23" t="str">
        <f t="shared" si="25"/>
        <v>[0.9225* imageHeight, 0.194166666666667* imageWidth], [0.89875* imageHeight, 0.194166666666667* imageWidth], [0.89875* imageHeight, 0.310833333333333* imageWidth], [0.9225* imageHeight, 0.310833333333333* imageWidth],[0.9225* imageHeight, 0.194166666666667* imageWidth]</v>
      </c>
    </row>
    <row r="24" spans="1:32" x14ac:dyDescent="0.2">
      <c r="A24" t="s">
        <v>63</v>
      </c>
      <c r="B24">
        <v>60</v>
      </c>
      <c r="C24">
        <v>58</v>
      </c>
      <c r="D24">
        <v>146</v>
      </c>
      <c r="E24">
        <v>57</v>
      </c>
      <c r="F24">
        <f t="shared" si="0"/>
        <v>146</v>
      </c>
      <c r="G24">
        <f t="shared" si="1"/>
        <v>115</v>
      </c>
      <c r="H24">
        <f t="shared" si="2"/>
        <v>206</v>
      </c>
      <c r="I24">
        <f t="shared" si="3"/>
        <v>115</v>
      </c>
      <c r="J24">
        <f t="shared" si="3"/>
        <v>206</v>
      </c>
      <c r="K24">
        <f t="shared" si="4"/>
        <v>57</v>
      </c>
      <c r="L24">
        <f t="shared" si="5"/>
        <v>146</v>
      </c>
      <c r="M24">
        <f t="shared" si="6"/>
        <v>743</v>
      </c>
      <c r="N24">
        <f t="shared" si="7"/>
        <v>146</v>
      </c>
      <c r="O24">
        <f t="shared" si="8"/>
        <v>685</v>
      </c>
      <c r="P24">
        <f t="shared" si="9"/>
        <v>206</v>
      </c>
      <c r="Q24">
        <f t="shared" si="10"/>
        <v>685</v>
      </c>
      <c r="R24">
        <f t="shared" si="11"/>
        <v>206</v>
      </c>
      <c r="S24">
        <f t="shared" si="12"/>
        <v>743</v>
      </c>
      <c r="T24">
        <f t="shared" si="13"/>
        <v>0.12166666666666667</v>
      </c>
      <c r="U24">
        <f t="shared" si="14"/>
        <v>0.92874999999999996</v>
      </c>
      <c r="V24">
        <f t="shared" si="15"/>
        <v>0.12166666666666667</v>
      </c>
      <c r="W24">
        <f t="shared" si="16"/>
        <v>0.85624999999999996</v>
      </c>
      <c r="X24">
        <f t="shared" si="17"/>
        <v>0.17166666666666666</v>
      </c>
      <c r="Y24">
        <f t="shared" si="18"/>
        <v>0.85624999999999996</v>
      </c>
      <c r="Z24">
        <f t="shared" si="19"/>
        <v>0.17166666666666666</v>
      </c>
      <c r="AA24">
        <f t="shared" si="20"/>
        <v>0.92874999999999996</v>
      </c>
      <c r="AB24" t="str">
        <f t="shared" si="21"/>
        <v>[0.92875* imageHeight, 0.121666666666667* imageWidth]</v>
      </c>
      <c r="AC24" t="str">
        <f t="shared" si="22"/>
        <v>[0.85625* imageHeight, 0.121666666666667* imageWidth]</v>
      </c>
      <c r="AD24" t="str">
        <f t="shared" si="23"/>
        <v>[0.85625* imageHeight, 0.171666666666667* imageWidth]</v>
      </c>
      <c r="AE24" t="str">
        <f t="shared" si="24"/>
        <v>[0.92875* imageHeight, 0.171666666666667* imageWidth]</v>
      </c>
      <c r="AF24" t="str">
        <f t="shared" si="25"/>
        <v>[0.92875* imageHeight, 0.121666666666667* imageWidth], [0.85625* imageHeight, 0.121666666666667* imageWidth], [0.85625* imageHeight, 0.171666666666667* imageWidth], [0.92875* imageHeight, 0.171666666666667* imageWidth],[0.92875* imageHeight, 0.121666666666667* imageWidth]</v>
      </c>
    </row>
    <row r="25" spans="1:32" x14ac:dyDescent="0.2">
      <c r="A25" t="s">
        <v>64</v>
      </c>
      <c r="B25">
        <v>154</v>
      </c>
      <c r="C25">
        <v>27</v>
      </c>
      <c r="D25">
        <v>394</v>
      </c>
      <c r="E25">
        <v>298</v>
      </c>
      <c r="F25">
        <f t="shared" si="0"/>
        <v>394</v>
      </c>
      <c r="G25">
        <f t="shared" si="1"/>
        <v>325</v>
      </c>
      <c r="H25">
        <f t="shared" si="2"/>
        <v>548</v>
      </c>
      <c r="I25">
        <f t="shared" si="3"/>
        <v>325</v>
      </c>
      <c r="J25">
        <f t="shared" si="3"/>
        <v>548</v>
      </c>
      <c r="K25">
        <f t="shared" si="4"/>
        <v>298</v>
      </c>
      <c r="L25">
        <f t="shared" si="5"/>
        <v>394</v>
      </c>
      <c r="M25">
        <f t="shared" si="6"/>
        <v>502</v>
      </c>
      <c r="N25">
        <f t="shared" si="7"/>
        <v>394</v>
      </c>
      <c r="O25">
        <f t="shared" si="8"/>
        <v>475</v>
      </c>
      <c r="P25">
        <f t="shared" si="9"/>
        <v>548</v>
      </c>
      <c r="Q25">
        <f t="shared" si="10"/>
        <v>475</v>
      </c>
      <c r="R25">
        <f t="shared" si="11"/>
        <v>548</v>
      </c>
      <c r="S25">
        <f t="shared" si="12"/>
        <v>502</v>
      </c>
      <c r="T25">
        <f t="shared" si="13"/>
        <v>0.32833333333333331</v>
      </c>
      <c r="U25">
        <f t="shared" si="14"/>
        <v>0.62749999999999995</v>
      </c>
      <c r="V25">
        <f t="shared" si="15"/>
        <v>0.32833333333333331</v>
      </c>
      <c r="W25">
        <f t="shared" si="16"/>
        <v>0.59375</v>
      </c>
      <c r="X25">
        <f t="shared" si="17"/>
        <v>0.45666666666666667</v>
      </c>
      <c r="Y25">
        <f t="shared" si="18"/>
        <v>0.59375</v>
      </c>
      <c r="Z25">
        <f t="shared" si="19"/>
        <v>0.45666666666666667</v>
      </c>
      <c r="AA25">
        <f t="shared" si="20"/>
        <v>0.62749999999999995</v>
      </c>
      <c r="AB25" t="str">
        <f t="shared" si="21"/>
        <v>[0.6275* imageHeight, 0.328333333333333* imageWidth]</v>
      </c>
      <c r="AC25" t="str">
        <f t="shared" si="22"/>
        <v>[0.59375* imageHeight, 0.328333333333333* imageWidth]</v>
      </c>
      <c r="AD25" t="str">
        <f t="shared" si="23"/>
        <v>[0.59375* imageHeight, 0.456666666666667* imageWidth]</v>
      </c>
      <c r="AE25" t="str">
        <f t="shared" si="24"/>
        <v>[0.6275* imageHeight, 0.456666666666667* imageWidth]</v>
      </c>
      <c r="AF25" t="str">
        <f t="shared" si="25"/>
        <v>[0.6275* imageHeight, 0.328333333333333* imageWidth], [0.59375* imageHeight, 0.328333333333333* imageWidth], [0.59375* imageHeight, 0.456666666666667* imageWidth], [0.6275* imageHeight, 0.456666666666667* imageWidth],[0.6275* imageHeight, 0.328333333333333* imageWidth]</v>
      </c>
    </row>
    <row r="26" spans="1:32" x14ac:dyDescent="0.2">
      <c r="A26" t="s">
        <v>65</v>
      </c>
      <c r="B26">
        <v>197</v>
      </c>
      <c r="C26">
        <v>33</v>
      </c>
      <c r="D26">
        <v>552</v>
      </c>
      <c r="E26">
        <v>294</v>
      </c>
      <c r="F26">
        <f t="shared" si="0"/>
        <v>552</v>
      </c>
      <c r="G26">
        <f t="shared" si="1"/>
        <v>327</v>
      </c>
      <c r="H26">
        <f t="shared" si="2"/>
        <v>749</v>
      </c>
      <c r="I26">
        <f t="shared" si="3"/>
        <v>327</v>
      </c>
      <c r="J26">
        <f t="shared" si="3"/>
        <v>749</v>
      </c>
      <c r="K26">
        <f t="shared" si="4"/>
        <v>294</v>
      </c>
      <c r="L26">
        <f t="shared" si="5"/>
        <v>552</v>
      </c>
      <c r="M26">
        <f t="shared" si="6"/>
        <v>506</v>
      </c>
      <c r="N26">
        <f t="shared" si="7"/>
        <v>552</v>
      </c>
      <c r="O26">
        <f t="shared" si="8"/>
        <v>473</v>
      </c>
      <c r="P26">
        <f t="shared" si="9"/>
        <v>749</v>
      </c>
      <c r="Q26">
        <f t="shared" si="10"/>
        <v>473</v>
      </c>
      <c r="R26">
        <f t="shared" si="11"/>
        <v>749</v>
      </c>
      <c r="S26">
        <f t="shared" si="12"/>
        <v>506</v>
      </c>
      <c r="T26">
        <f t="shared" si="13"/>
        <v>0.46</v>
      </c>
      <c r="U26">
        <f t="shared" si="14"/>
        <v>0.63249999999999995</v>
      </c>
      <c r="V26">
        <f t="shared" si="15"/>
        <v>0.46</v>
      </c>
      <c r="W26">
        <f t="shared" si="16"/>
        <v>0.59125000000000005</v>
      </c>
      <c r="X26">
        <f t="shared" si="17"/>
        <v>0.62416666666666665</v>
      </c>
      <c r="Y26">
        <f t="shared" si="18"/>
        <v>0.59125000000000005</v>
      </c>
      <c r="Z26">
        <f t="shared" si="19"/>
        <v>0.62416666666666665</v>
      </c>
      <c r="AA26">
        <f t="shared" si="20"/>
        <v>0.63249999999999995</v>
      </c>
      <c r="AB26" t="str">
        <f t="shared" si="21"/>
        <v>[0.6325* imageHeight, 0.46* imageWidth]</v>
      </c>
      <c r="AC26" t="str">
        <f t="shared" si="22"/>
        <v>[0.59125* imageHeight, 0.46* imageWidth]</v>
      </c>
      <c r="AD26" t="str">
        <f t="shared" si="23"/>
        <v>[0.59125* imageHeight, 0.624166666666667* imageWidth]</v>
      </c>
      <c r="AE26" t="str">
        <f t="shared" si="24"/>
        <v>[0.6325* imageHeight, 0.624166666666667* imageWidth]</v>
      </c>
      <c r="AF26" t="str">
        <f t="shared" si="25"/>
        <v>[0.6325* imageHeight, 0.46* imageWidth], [0.59125* imageHeight, 0.46* imageWidth], [0.59125* imageHeight, 0.624166666666667* imageWidth], [0.6325* imageHeight, 0.624166666666667* imageWidth],[0.6325* imageHeight, 0.46* imageWidth]</v>
      </c>
    </row>
    <row r="27" spans="1:32" x14ac:dyDescent="0.2">
      <c r="A27" t="s">
        <v>66</v>
      </c>
      <c r="B27">
        <v>80</v>
      </c>
      <c r="C27">
        <v>204</v>
      </c>
      <c r="D27">
        <v>453</v>
      </c>
      <c r="E27">
        <v>86</v>
      </c>
      <c r="F27">
        <f t="shared" si="0"/>
        <v>453</v>
      </c>
      <c r="G27">
        <f t="shared" si="1"/>
        <v>290</v>
      </c>
      <c r="H27">
        <f t="shared" si="2"/>
        <v>533</v>
      </c>
      <c r="I27">
        <f t="shared" si="3"/>
        <v>290</v>
      </c>
      <c r="J27">
        <f t="shared" si="3"/>
        <v>533</v>
      </c>
      <c r="K27">
        <f t="shared" si="4"/>
        <v>86</v>
      </c>
      <c r="L27">
        <f t="shared" si="5"/>
        <v>453</v>
      </c>
      <c r="M27">
        <f t="shared" si="6"/>
        <v>714</v>
      </c>
      <c r="N27">
        <f t="shared" si="7"/>
        <v>453</v>
      </c>
      <c r="O27">
        <f t="shared" si="8"/>
        <v>510</v>
      </c>
      <c r="P27">
        <f t="shared" si="9"/>
        <v>533</v>
      </c>
      <c r="Q27">
        <f t="shared" si="10"/>
        <v>510</v>
      </c>
      <c r="R27">
        <f t="shared" si="11"/>
        <v>533</v>
      </c>
      <c r="S27">
        <f t="shared" si="12"/>
        <v>714</v>
      </c>
      <c r="T27">
        <f t="shared" si="13"/>
        <v>0.3775</v>
      </c>
      <c r="U27">
        <f t="shared" si="14"/>
        <v>0.89249999999999996</v>
      </c>
      <c r="V27">
        <f t="shared" si="15"/>
        <v>0.3775</v>
      </c>
      <c r="W27">
        <f t="shared" si="16"/>
        <v>0.63749999999999996</v>
      </c>
      <c r="X27">
        <f t="shared" si="17"/>
        <v>0.44416666666666665</v>
      </c>
      <c r="Y27">
        <f t="shared" si="18"/>
        <v>0.63749999999999996</v>
      </c>
      <c r="Z27">
        <f t="shared" si="19"/>
        <v>0.44416666666666665</v>
      </c>
      <c r="AA27">
        <f t="shared" si="20"/>
        <v>0.89249999999999996</v>
      </c>
      <c r="AB27" t="str">
        <f t="shared" si="21"/>
        <v>[0.8925* imageHeight, 0.3775* imageWidth]</v>
      </c>
      <c r="AC27" t="str">
        <f t="shared" si="22"/>
        <v>[0.6375* imageHeight, 0.3775* imageWidth]</v>
      </c>
      <c r="AD27" t="str">
        <f t="shared" si="23"/>
        <v>[0.6375* imageHeight, 0.444166666666667* imageWidth]</v>
      </c>
      <c r="AE27" t="str">
        <f t="shared" si="24"/>
        <v>[0.8925* imageHeight, 0.444166666666667* imageWidth]</v>
      </c>
      <c r="AF27" t="str">
        <f t="shared" si="25"/>
        <v>[0.8925* imageHeight, 0.3775* imageWidth], [0.6375* imageHeight, 0.3775* imageWidth], [0.6375* imageHeight, 0.444166666666667* imageWidth], [0.8925* imageHeight, 0.444166666666667* imageWidth],[0.8925* imageHeight, 0.3775* imageWidth]</v>
      </c>
    </row>
    <row r="28" spans="1:32" x14ac:dyDescent="0.2">
      <c r="A28" t="s">
        <v>67</v>
      </c>
      <c r="B28">
        <v>110</v>
      </c>
      <c r="C28">
        <v>112</v>
      </c>
      <c r="D28">
        <v>560</v>
      </c>
      <c r="E28">
        <v>85</v>
      </c>
      <c r="F28">
        <f t="shared" si="0"/>
        <v>560</v>
      </c>
      <c r="G28">
        <f t="shared" si="1"/>
        <v>197</v>
      </c>
      <c r="H28">
        <f t="shared" si="2"/>
        <v>670</v>
      </c>
      <c r="I28">
        <f t="shared" si="3"/>
        <v>197</v>
      </c>
      <c r="J28">
        <f t="shared" si="3"/>
        <v>670</v>
      </c>
      <c r="K28">
        <f t="shared" si="4"/>
        <v>85</v>
      </c>
      <c r="L28">
        <f t="shared" si="5"/>
        <v>560</v>
      </c>
      <c r="M28">
        <f t="shared" si="6"/>
        <v>715</v>
      </c>
      <c r="N28">
        <f t="shared" si="7"/>
        <v>560</v>
      </c>
      <c r="O28">
        <f t="shared" si="8"/>
        <v>603</v>
      </c>
      <c r="P28">
        <f t="shared" si="9"/>
        <v>670</v>
      </c>
      <c r="Q28">
        <f t="shared" si="10"/>
        <v>603</v>
      </c>
      <c r="R28">
        <f t="shared" si="11"/>
        <v>670</v>
      </c>
      <c r="S28">
        <f t="shared" si="12"/>
        <v>715</v>
      </c>
      <c r="T28">
        <f t="shared" si="13"/>
        <v>0.46666666666666667</v>
      </c>
      <c r="U28">
        <f t="shared" si="14"/>
        <v>0.89375000000000004</v>
      </c>
      <c r="V28">
        <f t="shared" si="15"/>
        <v>0.46666666666666667</v>
      </c>
      <c r="W28">
        <f t="shared" si="16"/>
        <v>0.75375000000000003</v>
      </c>
      <c r="X28">
        <f t="shared" si="17"/>
        <v>0.55833333333333335</v>
      </c>
      <c r="Y28">
        <f t="shared" si="18"/>
        <v>0.75375000000000003</v>
      </c>
      <c r="Z28">
        <f t="shared" si="19"/>
        <v>0.55833333333333335</v>
      </c>
      <c r="AA28">
        <f t="shared" si="20"/>
        <v>0.89375000000000004</v>
      </c>
      <c r="AB28" t="str">
        <f t="shared" si="21"/>
        <v>[0.89375* imageHeight, 0.466666666666667* imageWidth]</v>
      </c>
      <c r="AC28" t="str">
        <f t="shared" si="22"/>
        <v>[0.75375* imageHeight, 0.466666666666667* imageWidth]</v>
      </c>
      <c r="AD28" t="str">
        <f t="shared" si="23"/>
        <v>[0.75375* imageHeight, 0.558333333333333* imageWidth]</v>
      </c>
      <c r="AE28" t="str">
        <f t="shared" si="24"/>
        <v>[0.89375* imageHeight, 0.558333333333333* imageWidth]</v>
      </c>
      <c r="AF28" t="str">
        <f t="shared" si="25"/>
        <v>[0.89375* imageHeight, 0.466666666666667* imageWidth], [0.75375* imageHeight, 0.466666666666667* imageWidth], [0.75375* imageHeight, 0.558333333333333* imageWidth], [0.89375* imageHeight, 0.558333333333333* imageWidth],[0.89375* imageHeight, 0.466666666666667* imageWidth]</v>
      </c>
    </row>
    <row r="29" spans="1:32" x14ac:dyDescent="0.2">
      <c r="A29" t="s">
        <v>68</v>
      </c>
      <c r="B29">
        <v>125</v>
      </c>
      <c r="C29">
        <v>32</v>
      </c>
      <c r="D29">
        <v>674</v>
      </c>
      <c r="E29">
        <v>164</v>
      </c>
      <c r="F29">
        <f t="shared" si="0"/>
        <v>674</v>
      </c>
      <c r="G29">
        <f t="shared" si="1"/>
        <v>196</v>
      </c>
      <c r="H29">
        <f t="shared" si="2"/>
        <v>799</v>
      </c>
      <c r="I29">
        <f t="shared" si="3"/>
        <v>196</v>
      </c>
      <c r="J29">
        <f t="shared" si="3"/>
        <v>799</v>
      </c>
      <c r="K29">
        <f t="shared" si="4"/>
        <v>164</v>
      </c>
      <c r="L29">
        <f t="shared" si="5"/>
        <v>674</v>
      </c>
      <c r="M29">
        <f t="shared" si="6"/>
        <v>636</v>
      </c>
      <c r="N29">
        <f t="shared" si="7"/>
        <v>674</v>
      </c>
      <c r="O29">
        <f t="shared" si="8"/>
        <v>604</v>
      </c>
      <c r="P29">
        <f t="shared" si="9"/>
        <v>799</v>
      </c>
      <c r="Q29">
        <f t="shared" si="10"/>
        <v>604</v>
      </c>
      <c r="R29">
        <f t="shared" si="11"/>
        <v>799</v>
      </c>
      <c r="S29">
        <f t="shared" si="12"/>
        <v>636</v>
      </c>
      <c r="T29">
        <f t="shared" si="13"/>
        <v>0.56166666666666665</v>
      </c>
      <c r="U29">
        <f t="shared" si="14"/>
        <v>0.79500000000000004</v>
      </c>
      <c r="V29">
        <f t="shared" si="15"/>
        <v>0.56166666666666665</v>
      </c>
      <c r="W29">
        <f t="shared" si="16"/>
        <v>0.755</v>
      </c>
      <c r="X29">
        <f t="shared" si="17"/>
        <v>0.66583333333333339</v>
      </c>
      <c r="Y29">
        <f t="shared" si="18"/>
        <v>0.755</v>
      </c>
      <c r="Z29">
        <f t="shared" si="19"/>
        <v>0.66583333333333339</v>
      </c>
      <c r="AA29">
        <f t="shared" si="20"/>
        <v>0.79500000000000004</v>
      </c>
      <c r="AB29" t="str">
        <f t="shared" si="21"/>
        <v>[0.795* imageHeight, 0.561666666666667* imageWidth]</v>
      </c>
      <c r="AC29" t="str">
        <f t="shared" si="22"/>
        <v>[0.755* imageHeight, 0.561666666666667* imageWidth]</v>
      </c>
      <c r="AD29" t="str">
        <f t="shared" si="23"/>
        <v>[0.755* imageHeight, 0.665833333333333* imageWidth]</v>
      </c>
      <c r="AE29" t="str">
        <f t="shared" si="24"/>
        <v>[0.795* imageHeight, 0.665833333333333* imageWidth]</v>
      </c>
      <c r="AF29" t="str">
        <f t="shared" si="25"/>
        <v>[0.795* imageHeight, 0.561666666666667* imageWidth], [0.755* imageHeight, 0.561666666666667* imageWidth], [0.755* imageHeight, 0.665833333333333* imageWidth], [0.795* imageHeight, 0.665833333333333* imageWidth],[0.795* imageHeight, 0.561666666666667* imageWidth]</v>
      </c>
    </row>
    <row r="30" spans="1:32" x14ac:dyDescent="0.2">
      <c r="A30" t="s">
        <v>69</v>
      </c>
      <c r="B30">
        <v>166</v>
      </c>
      <c r="C30">
        <v>69</v>
      </c>
      <c r="D30">
        <v>627</v>
      </c>
      <c r="E30">
        <v>212</v>
      </c>
      <c r="F30">
        <f t="shared" si="0"/>
        <v>627</v>
      </c>
      <c r="G30">
        <f t="shared" si="1"/>
        <v>281</v>
      </c>
      <c r="H30">
        <f t="shared" si="2"/>
        <v>793</v>
      </c>
      <c r="I30">
        <f t="shared" si="3"/>
        <v>281</v>
      </c>
      <c r="J30">
        <f t="shared" si="3"/>
        <v>793</v>
      </c>
      <c r="K30">
        <f t="shared" si="4"/>
        <v>212</v>
      </c>
      <c r="L30">
        <f t="shared" si="5"/>
        <v>627</v>
      </c>
      <c r="M30">
        <f t="shared" si="6"/>
        <v>588</v>
      </c>
      <c r="N30">
        <f t="shared" si="7"/>
        <v>627</v>
      </c>
      <c r="O30">
        <f t="shared" si="8"/>
        <v>519</v>
      </c>
      <c r="P30">
        <f t="shared" si="9"/>
        <v>793</v>
      </c>
      <c r="Q30">
        <f t="shared" si="10"/>
        <v>519</v>
      </c>
      <c r="R30">
        <f t="shared" si="11"/>
        <v>793</v>
      </c>
      <c r="S30">
        <f t="shared" si="12"/>
        <v>588</v>
      </c>
      <c r="T30">
        <f t="shared" si="13"/>
        <v>0.52249999999999996</v>
      </c>
      <c r="U30">
        <f t="shared" si="14"/>
        <v>0.73499999999999999</v>
      </c>
      <c r="V30">
        <f t="shared" si="15"/>
        <v>0.52249999999999996</v>
      </c>
      <c r="W30">
        <f t="shared" si="16"/>
        <v>0.64875000000000005</v>
      </c>
      <c r="X30">
        <f t="shared" si="17"/>
        <v>0.66083333333333338</v>
      </c>
      <c r="Y30">
        <f t="shared" si="18"/>
        <v>0.64875000000000005</v>
      </c>
      <c r="Z30">
        <f t="shared" si="19"/>
        <v>0.66083333333333338</v>
      </c>
      <c r="AA30">
        <f t="shared" si="20"/>
        <v>0.73499999999999999</v>
      </c>
      <c r="AB30" t="str">
        <f t="shared" si="21"/>
        <v>[0.735* imageHeight, 0.5225* imageWidth]</v>
      </c>
      <c r="AC30" t="str">
        <f t="shared" si="22"/>
        <v>[0.64875* imageHeight, 0.5225* imageWidth]</v>
      </c>
      <c r="AD30" t="str">
        <f t="shared" si="23"/>
        <v>[0.64875* imageHeight, 0.660833333333333* imageWidth]</v>
      </c>
      <c r="AE30" t="str">
        <f t="shared" si="24"/>
        <v>[0.735* imageHeight, 0.660833333333333* imageWidth]</v>
      </c>
      <c r="AF30" t="str">
        <f t="shared" si="25"/>
        <v>[0.735* imageHeight, 0.5225* imageWidth], [0.64875* imageHeight, 0.5225* imageWidth], [0.64875* imageHeight, 0.660833333333333* imageWidth], [0.735* imageHeight, 0.660833333333333* imageWidth],[0.735* imageHeight, 0.5225* imageWidth]</v>
      </c>
    </row>
    <row r="31" spans="1:32" x14ac:dyDescent="0.2">
      <c r="A31" t="s">
        <v>70</v>
      </c>
      <c r="B31">
        <v>125</v>
      </c>
      <c r="C31">
        <v>94</v>
      </c>
      <c r="D31">
        <v>872</v>
      </c>
      <c r="E31">
        <v>168</v>
      </c>
      <c r="F31">
        <f t="shared" si="0"/>
        <v>872</v>
      </c>
      <c r="G31">
        <f t="shared" si="1"/>
        <v>262</v>
      </c>
      <c r="H31">
        <f t="shared" si="2"/>
        <v>997</v>
      </c>
      <c r="I31">
        <f t="shared" si="3"/>
        <v>262</v>
      </c>
      <c r="J31">
        <f t="shared" si="3"/>
        <v>997</v>
      </c>
      <c r="K31">
        <f t="shared" si="4"/>
        <v>168</v>
      </c>
      <c r="L31">
        <f t="shared" si="5"/>
        <v>872</v>
      </c>
      <c r="M31">
        <f t="shared" si="6"/>
        <v>632</v>
      </c>
      <c r="N31">
        <f t="shared" si="7"/>
        <v>872</v>
      </c>
      <c r="O31">
        <f t="shared" si="8"/>
        <v>538</v>
      </c>
      <c r="P31">
        <f t="shared" si="9"/>
        <v>997</v>
      </c>
      <c r="Q31">
        <f t="shared" si="10"/>
        <v>538</v>
      </c>
      <c r="R31">
        <f t="shared" si="11"/>
        <v>997</v>
      </c>
      <c r="S31">
        <f t="shared" si="12"/>
        <v>632</v>
      </c>
      <c r="T31">
        <f t="shared" si="13"/>
        <v>0.72666666666666668</v>
      </c>
      <c r="U31">
        <f t="shared" si="14"/>
        <v>0.79</v>
      </c>
      <c r="V31">
        <f t="shared" si="15"/>
        <v>0.72666666666666668</v>
      </c>
      <c r="W31">
        <f t="shared" si="16"/>
        <v>0.67249999999999999</v>
      </c>
      <c r="X31">
        <f t="shared" si="17"/>
        <v>0.83083333333333331</v>
      </c>
      <c r="Y31">
        <f t="shared" si="18"/>
        <v>0.67249999999999999</v>
      </c>
      <c r="Z31">
        <f t="shared" si="19"/>
        <v>0.83083333333333331</v>
      </c>
      <c r="AA31">
        <f t="shared" si="20"/>
        <v>0.79</v>
      </c>
      <c r="AB31" t="str">
        <f t="shared" si="21"/>
        <v>[0.79* imageHeight, 0.726666666666667* imageWidth]</v>
      </c>
      <c r="AC31" t="str">
        <f t="shared" si="22"/>
        <v>[0.6725* imageHeight, 0.726666666666667* imageWidth]</v>
      </c>
      <c r="AD31" t="str">
        <f t="shared" si="23"/>
        <v>[0.6725* imageHeight, 0.830833333333333* imageWidth]</v>
      </c>
      <c r="AE31" t="str">
        <f t="shared" si="24"/>
        <v>[0.79* imageHeight, 0.830833333333333* imageWidth]</v>
      </c>
      <c r="AF31" t="str">
        <f t="shared" si="25"/>
        <v>[0.79* imageHeight, 0.726666666666667* imageWidth], [0.6725* imageHeight, 0.726666666666667* imageWidth], [0.6725* imageHeight, 0.830833333333333* imageWidth], [0.79* imageHeight, 0.830833333333333* imageWidth],[0.79* imageHeight, 0.726666666666667* imageWidth]</v>
      </c>
    </row>
    <row r="32" spans="1:32" x14ac:dyDescent="0.2">
      <c r="A32" t="s">
        <v>71</v>
      </c>
      <c r="B32">
        <v>149</v>
      </c>
      <c r="C32">
        <v>60</v>
      </c>
      <c r="D32">
        <v>959</v>
      </c>
      <c r="E32">
        <v>102</v>
      </c>
      <c r="F32">
        <f t="shared" si="0"/>
        <v>959</v>
      </c>
      <c r="G32">
        <f t="shared" si="1"/>
        <v>162</v>
      </c>
      <c r="H32">
        <f t="shared" si="2"/>
        <v>1108</v>
      </c>
      <c r="I32">
        <f t="shared" si="3"/>
        <v>162</v>
      </c>
      <c r="J32">
        <f t="shared" si="3"/>
        <v>1108</v>
      </c>
      <c r="K32">
        <f t="shared" si="4"/>
        <v>102</v>
      </c>
      <c r="L32">
        <f t="shared" si="5"/>
        <v>959</v>
      </c>
      <c r="M32">
        <f t="shared" si="6"/>
        <v>698</v>
      </c>
      <c r="N32">
        <f t="shared" si="7"/>
        <v>959</v>
      </c>
      <c r="O32">
        <f t="shared" si="8"/>
        <v>638</v>
      </c>
      <c r="P32">
        <f t="shared" si="9"/>
        <v>1108</v>
      </c>
      <c r="Q32">
        <f t="shared" si="10"/>
        <v>638</v>
      </c>
      <c r="R32">
        <f t="shared" si="11"/>
        <v>1108</v>
      </c>
      <c r="S32">
        <f t="shared" si="12"/>
        <v>698</v>
      </c>
      <c r="T32">
        <f t="shared" si="13"/>
        <v>0.79916666666666669</v>
      </c>
      <c r="U32">
        <f t="shared" si="14"/>
        <v>0.87250000000000005</v>
      </c>
      <c r="V32">
        <f t="shared" si="15"/>
        <v>0.79916666666666669</v>
      </c>
      <c r="W32">
        <f t="shared" si="16"/>
        <v>0.79749999999999999</v>
      </c>
      <c r="X32">
        <f t="shared" si="17"/>
        <v>0.92333333333333334</v>
      </c>
      <c r="Y32">
        <f t="shared" si="18"/>
        <v>0.79749999999999999</v>
      </c>
      <c r="Z32">
        <f t="shared" si="19"/>
        <v>0.92333333333333334</v>
      </c>
      <c r="AA32">
        <f t="shared" si="20"/>
        <v>0.87250000000000005</v>
      </c>
      <c r="AB32" t="str">
        <f t="shared" si="21"/>
        <v>[0.8725* imageHeight, 0.799166666666667* imageWidth]</v>
      </c>
      <c r="AC32" t="str">
        <f t="shared" si="22"/>
        <v>[0.7975* imageHeight, 0.799166666666667* imageWidth]</v>
      </c>
      <c r="AD32" t="str">
        <f t="shared" si="23"/>
        <v>[0.7975* imageHeight, 0.923333333333333* imageWidth]</v>
      </c>
      <c r="AE32" t="str">
        <f t="shared" si="24"/>
        <v>[0.8725* imageHeight, 0.923333333333333* imageWidth]</v>
      </c>
      <c r="AF32" t="str">
        <f t="shared" si="25"/>
        <v>[0.8725* imageHeight, 0.799166666666667* imageWidth], [0.7975* imageHeight, 0.799166666666667* imageWidth], [0.7975* imageHeight, 0.923333333333333* imageWidth], [0.8725* imageHeight, 0.923333333333333* imageWidth],[0.8725* imageHeight, 0.799166666666667* imageWidth]</v>
      </c>
    </row>
    <row r="33" spans="1:32" x14ac:dyDescent="0.2">
      <c r="A33" t="s">
        <v>72</v>
      </c>
      <c r="B33">
        <v>125</v>
      </c>
      <c r="C33">
        <v>143</v>
      </c>
      <c r="D33">
        <v>856</v>
      </c>
      <c r="E33">
        <v>267</v>
      </c>
      <c r="F33">
        <f t="shared" si="0"/>
        <v>856</v>
      </c>
      <c r="G33">
        <f t="shared" si="1"/>
        <v>410</v>
      </c>
      <c r="H33">
        <f t="shared" si="2"/>
        <v>981</v>
      </c>
      <c r="I33">
        <f t="shared" si="3"/>
        <v>410</v>
      </c>
      <c r="J33">
        <f t="shared" si="3"/>
        <v>981</v>
      </c>
      <c r="K33">
        <f t="shared" si="4"/>
        <v>267</v>
      </c>
      <c r="L33">
        <f t="shared" si="5"/>
        <v>856</v>
      </c>
      <c r="M33">
        <f t="shared" si="6"/>
        <v>533</v>
      </c>
      <c r="N33">
        <f t="shared" si="7"/>
        <v>856</v>
      </c>
      <c r="O33">
        <f t="shared" si="8"/>
        <v>390</v>
      </c>
      <c r="P33">
        <f t="shared" si="9"/>
        <v>981</v>
      </c>
      <c r="Q33">
        <f t="shared" si="10"/>
        <v>390</v>
      </c>
      <c r="R33">
        <f t="shared" si="11"/>
        <v>981</v>
      </c>
      <c r="S33">
        <f t="shared" si="12"/>
        <v>533</v>
      </c>
      <c r="T33">
        <f t="shared" si="13"/>
        <v>0.71333333333333337</v>
      </c>
      <c r="U33">
        <f t="shared" si="14"/>
        <v>0.66625000000000001</v>
      </c>
      <c r="V33">
        <f t="shared" si="15"/>
        <v>0.71333333333333337</v>
      </c>
      <c r="W33">
        <f t="shared" si="16"/>
        <v>0.48749999999999999</v>
      </c>
      <c r="X33">
        <f t="shared" si="17"/>
        <v>0.8175</v>
      </c>
      <c r="Y33">
        <f t="shared" si="18"/>
        <v>0.48749999999999999</v>
      </c>
      <c r="Z33">
        <f t="shared" si="19"/>
        <v>0.8175</v>
      </c>
      <c r="AA33">
        <f t="shared" si="20"/>
        <v>0.66625000000000001</v>
      </c>
      <c r="AB33" t="str">
        <f t="shared" si="21"/>
        <v>[0.66625* imageHeight, 0.713333333333333* imageWidth]</v>
      </c>
      <c r="AC33" t="str">
        <f t="shared" si="22"/>
        <v>[0.4875* imageHeight, 0.713333333333333* imageWidth]</v>
      </c>
      <c r="AD33" t="str">
        <f t="shared" si="23"/>
        <v>[0.4875* imageHeight, 0.8175* imageWidth]</v>
      </c>
      <c r="AE33" t="str">
        <f t="shared" si="24"/>
        <v>[0.66625* imageHeight, 0.8175* imageWidth]</v>
      </c>
      <c r="AF33" t="str">
        <f t="shared" si="25"/>
        <v>[0.66625* imageHeight, 0.713333333333333* imageWidth], [0.4875* imageHeight, 0.713333333333333* imageWidth], [0.4875* imageHeight, 0.8175* imageWidth], [0.66625* imageHeight, 0.8175* imageWidth],[0.66625* imageHeight, 0.713333333333333* imageWidth]</v>
      </c>
    </row>
    <row r="34" spans="1:32" x14ac:dyDescent="0.2">
      <c r="A34" t="s">
        <v>73</v>
      </c>
      <c r="B34">
        <v>109</v>
      </c>
      <c r="C34">
        <v>153</v>
      </c>
      <c r="D34">
        <v>986</v>
      </c>
      <c r="E34">
        <v>264</v>
      </c>
      <c r="F34">
        <f t="shared" si="0"/>
        <v>986</v>
      </c>
      <c r="G34">
        <f t="shared" si="1"/>
        <v>417</v>
      </c>
      <c r="H34">
        <f t="shared" si="2"/>
        <v>1095</v>
      </c>
      <c r="I34">
        <f t="shared" si="3"/>
        <v>417</v>
      </c>
      <c r="J34">
        <f t="shared" si="3"/>
        <v>1095</v>
      </c>
      <c r="K34">
        <f t="shared" si="4"/>
        <v>264</v>
      </c>
      <c r="L34">
        <f t="shared" si="5"/>
        <v>986</v>
      </c>
      <c r="M34">
        <f t="shared" si="6"/>
        <v>536</v>
      </c>
      <c r="N34">
        <f t="shared" si="7"/>
        <v>986</v>
      </c>
      <c r="O34">
        <f t="shared" si="8"/>
        <v>383</v>
      </c>
      <c r="P34">
        <f t="shared" si="9"/>
        <v>1095</v>
      </c>
      <c r="Q34">
        <f t="shared" si="10"/>
        <v>383</v>
      </c>
      <c r="R34">
        <f t="shared" si="11"/>
        <v>1095</v>
      </c>
      <c r="S34">
        <f t="shared" si="12"/>
        <v>536</v>
      </c>
      <c r="T34">
        <f t="shared" si="13"/>
        <v>0.82166666666666666</v>
      </c>
      <c r="U34">
        <f t="shared" si="14"/>
        <v>0.67</v>
      </c>
      <c r="V34">
        <f t="shared" si="15"/>
        <v>0.82166666666666666</v>
      </c>
      <c r="W34">
        <f t="shared" si="16"/>
        <v>0.47875000000000001</v>
      </c>
      <c r="X34">
        <f t="shared" si="17"/>
        <v>0.91249999999999998</v>
      </c>
      <c r="Y34">
        <f t="shared" si="18"/>
        <v>0.47875000000000001</v>
      </c>
      <c r="Z34">
        <f t="shared" si="19"/>
        <v>0.91249999999999998</v>
      </c>
      <c r="AA34">
        <f t="shared" si="20"/>
        <v>0.67</v>
      </c>
      <c r="AB34" t="str">
        <f t="shared" si="21"/>
        <v>[0.67* imageHeight, 0.821666666666667* imageWidth]</v>
      </c>
      <c r="AC34" t="str">
        <f t="shared" si="22"/>
        <v>[0.47875* imageHeight, 0.821666666666667* imageWidth]</v>
      </c>
      <c r="AD34" t="str">
        <f t="shared" si="23"/>
        <v>[0.47875* imageHeight, 0.9125* imageWidth]</v>
      </c>
      <c r="AE34" t="str">
        <f t="shared" si="24"/>
        <v>[0.67* imageHeight, 0.9125* imageWidth]</v>
      </c>
      <c r="AF34" t="str">
        <f t="shared" si="25"/>
        <v>[0.67* imageHeight, 0.821666666666667* imageWidth], [0.47875* imageHeight, 0.821666666666667* imageWidth], [0.47875* imageHeight, 0.9125* imageWidth], [0.67* imageHeight, 0.9125* imageWidth],[0.67* imageHeight, 0.821666666666667* imageWidth]</v>
      </c>
    </row>
    <row r="35" spans="1:32" x14ac:dyDescent="0.2">
      <c r="A35" t="s">
        <v>74</v>
      </c>
      <c r="B35">
        <v>171</v>
      </c>
      <c r="C35">
        <v>50</v>
      </c>
      <c r="D35">
        <v>974</v>
      </c>
      <c r="E35">
        <v>421</v>
      </c>
      <c r="F35">
        <f t="shared" si="0"/>
        <v>974</v>
      </c>
      <c r="G35">
        <f t="shared" si="1"/>
        <v>471</v>
      </c>
      <c r="H35">
        <f t="shared" si="2"/>
        <v>1145</v>
      </c>
      <c r="I35">
        <f t="shared" si="3"/>
        <v>471</v>
      </c>
      <c r="J35">
        <f t="shared" si="3"/>
        <v>1145</v>
      </c>
      <c r="K35">
        <f t="shared" si="4"/>
        <v>421</v>
      </c>
      <c r="L35">
        <f t="shared" si="5"/>
        <v>974</v>
      </c>
      <c r="M35">
        <f t="shared" si="6"/>
        <v>379</v>
      </c>
      <c r="N35">
        <f t="shared" si="7"/>
        <v>974</v>
      </c>
      <c r="O35">
        <f t="shared" si="8"/>
        <v>329</v>
      </c>
      <c r="P35">
        <f t="shared" si="9"/>
        <v>1145</v>
      </c>
      <c r="Q35">
        <f t="shared" si="10"/>
        <v>329</v>
      </c>
      <c r="R35">
        <f t="shared" si="11"/>
        <v>1145</v>
      </c>
      <c r="S35">
        <f t="shared" si="12"/>
        <v>379</v>
      </c>
      <c r="T35">
        <f t="shared" si="13"/>
        <v>0.81166666666666665</v>
      </c>
      <c r="U35">
        <f t="shared" si="14"/>
        <v>0.47375</v>
      </c>
      <c r="V35">
        <f t="shared" si="15"/>
        <v>0.81166666666666665</v>
      </c>
      <c r="W35">
        <f t="shared" si="16"/>
        <v>0.41125</v>
      </c>
      <c r="X35">
        <f t="shared" si="17"/>
        <v>0.95416666666666672</v>
      </c>
      <c r="Y35">
        <f t="shared" si="18"/>
        <v>0.41125</v>
      </c>
      <c r="Z35">
        <f t="shared" si="19"/>
        <v>0.95416666666666672</v>
      </c>
      <c r="AA35">
        <f t="shared" si="20"/>
        <v>0.47375</v>
      </c>
      <c r="AB35" t="str">
        <f t="shared" si="21"/>
        <v>[0.47375* imageHeight, 0.811666666666667* imageWidth]</v>
      </c>
      <c r="AC35" t="str">
        <f t="shared" si="22"/>
        <v>[0.41125* imageHeight, 0.811666666666667* imageWidth]</v>
      </c>
      <c r="AD35" t="str">
        <f t="shared" si="23"/>
        <v>[0.41125* imageHeight, 0.954166666666667* imageWidth]</v>
      </c>
      <c r="AE35" t="str">
        <f t="shared" si="24"/>
        <v>[0.47375* imageHeight, 0.954166666666667* imageWidth]</v>
      </c>
      <c r="AF35" t="str">
        <f t="shared" si="25"/>
        <v>[0.47375* imageHeight, 0.811666666666667* imageWidth], [0.41125* imageHeight, 0.811666666666667* imageWidth], [0.41125* imageHeight, 0.954166666666667* imageWidth], [0.47375* imageHeight, 0.954166666666667* imageWidth],[0.47375* imageHeight, 0.811666666666667* imageWidth]</v>
      </c>
    </row>
    <row r="36" spans="1:32" x14ac:dyDescent="0.2">
      <c r="A36" t="s">
        <v>75</v>
      </c>
      <c r="B36">
        <v>123</v>
      </c>
      <c r="C36">
        <v>85</v>
      </c>
      <c r="D36">
        <v>942</v>
      </c>
      <c r="E36">
        <v>477</v>
      </c>
      <c r="F36">
        <f t="shared" si="0"/>
        <v>942</v>
      </c>
      <c r="G36">
        <f t="shared" si="1"/>
        <v>562</v>
      </c>
      <c r="H36">
        <f t="shared" si="2"/>
        <v>1065</v>
      </c>
      <c r="I36">
        <f t="shared" si="3"/>
        <v>562</v>
      </c>
      <c r="J36">
        <f t="shared" si="3"/>
        <v>1065</v>
      </c>
      <c r="K36">
        <f t="shared" si="4"/>
        <v>477</v>
      </c>
      <c r="L36">
        <f t="shared" si="5"/>
        <v>942</v>
      </c>
      <c r="M36">
        <f t="shared" si="6"/>
        <v>323</v>
      </c>
      <c r="N36">
        <f t="shared" si="7"/>
        <v>942</v>
      </c>
      <c r="O36">
        <f t="shared" si="8"/>
        <v>238</v>
      </c>
      <c r="P36">
        <f t="shared" si="9"/>
        <v>1065</v>
      </c>
      <c r="Q36">
        <f t="shared" si="10"/>
        <v>238</v>
      </c>
      <c r="R36">
        <f t="shared" si="11"/>
        <v>1065</v>
      </c>
      <c r="S36">
        <f t="shared" si="12"/>
        <v>323</v>
      </c>
      <c r="T36">
        <f t="shared" si="13"/>
        <v>0.78500000000000003</v>
      </c>
      <c r="U36">
        <f t="shared" si="14"/>
        <v>0.40375</v>
      </c>
      <c r="V36">
        <f t="shared" si="15"/>
        <v>0.78500000000000003</v>
      </c>
      <c r="W36">
        <f t="shared" si="16"/>
        <v>0.29749999999999999</v>
      </c>
      <c r="X36">
        <f t="shared" si="17"/>
        <v>0.88749999999999996</v>
      </c>
      <c r="Y36">
        <f t="shared" si="18"/>
        <v>0.29749999999999999</v>
      </c>
      <c r="Z36">
        <f t="shared" si="19"/>
        <v>0.88749999999999996</v>
      </c>
      <c r="AA36">
        <f t="shared" si="20"/>
        <v>0.40375</v>
      </c>
      <c r="AB36" t="str">
        <f t="shared" si="21"/>
        <v>[0.40375* imageHeight, 0.785* imageWidth]</v>
      </c>
      <c r="AC36" t="str">
        <f t="shared" si="22"/>
        <v>[0.2975* imageHeight, 0.785* imageWidth]</v>
      </c>
      <c r="AD36" t="str">
        <f t="shared" si="23"/>
        <v>[0.2975* imageHeight, 0.8875* imageWidth]</v>
      </c>
      <c r="AE36" t="str">
        <f t="shared" si="24"/>
        <v>[0.40375* imageHeight, 0.8875* imageWidth]</v>
      </c>
      <c r="AF36" t="str">
        <f t="shared" si="25"/>
        <v>[0.40375* imageHeight, 0.785* imageWidth], [0.2975* imageHeight, 0.785* imageWidth], [0.2975* imageHeight, 0.8875* imageWidth], [0.40375* imageHeight, 0.8875* imageWidth],[0.40375* imageHeight, 0.785* imageWidth]</v>
      </c>
    </row>
    <row r="37" spans="1:32" x14ac:dyDescent="0.2">
      <c r="A37" t="s">
        <v>76</v>
      </c>
      <c r="B37">
        <v>91</v>
      </c>
      <c r="C37">
        <v>58</v>
      </c>
      <c r="D37">
        <v>848</v>
      </c>
      <c r="E37">
        <v>497</v>
      </c>
      <c r="F37">
        <f t="shared" si="0"/>
        <v>848</v>
      </c>
      <c r="G37">
        <f t="shared" si="1"/>
        <v>555</v>
      </c>
      <c r="H37">
        <f t="shared" si="2"/>
        <v>939</v>
      </c>
      <c r="I37">
        <f t="shared" si="3"/>
        <v>555</v>
      </c>
      <c r="J37">
        <f t="shared" si="3"/>
        <v>939</v>
      </c>
      <c r="K37">
        <f t="shared" si="4"/>
        <v>497</v>
      </c>
      <c r="L37">
        <f t="shared" si="5"/>
        <v>848</v>
      </c>
      <c r="M37">
        <f t="shared" si="6"/>
        <v>303</v>
      </c>
      <c r="N37">
        <f t="shared" si="7"/>
        <v>848</v>
      </c>
      <c r="O37">
        <f t="shared" si="8"/>
        <v>245</v>
      </c>
      <c r="P37">
        <f t="shared" si="9"/>
        <v>939</v>
      </c>
      <c r="Q37">
        <f t="shared" si="10"/>
        <v>245</v>
      </c>
      <c r="R37">
        <f t="shared" si="11"/>
        <v>939</v>
      </c>
      <c r="S37">
        <f t="shared" si="12"/>
        <v>303</v>
      </c>
      <c r="T37">
        <f t="shared" si="13"/>
        <v>0.70666666666666667</v>
      </c>
      <c r="U37">
        <f t="shared" si="14"/>
        <v>0.37874999999999998</v>
      </c>
      <c r="V37">
        <f t="shared" si="15"/>
        <v>0.70666666666666667</v>
      </c>
      <c r="W37">
        <f t="shared" si="16"/>
        <v>0.30625000000000002</v>
      </c>
      <c r="X37">
        <f t="shared" si="17"/>
        <v>0.78249999999999997</v>
      </c>
      <c r="Y37">
        <f t="shared" si="18"/>
        <v>0.30625000000000002</v>
      </c>
      <c r="Z37">
        <f t="shared" si="19"/>
        <v>0.78249999999999997</v>
      </c>
      <c r="AA37">
        <f t="shared" si="20"/>
        <v>0.37874999999999998</v>
      </c>
      <c r="AB37" t="str">
        <f t="shared" si="21"/>
        <v>[0.37875* imageHeight, 0.706666666666667* imageWidth]</v>
      </c>
      <c r="AC37" t="str">
        <f t="shared" si="22"/>
        <v>[0.30625* imageHeight, 0.706666666666667* imageWidth]</v>
      </c>
      <c r="AD37" t="str">
        <f t="shared" si="23"/>
        <v>[0.30625* imageHeight, 0.7825* imageWidth]</v>
      </c>
      <c r="AE37" t="str">
        <f t="shared" si="24"/>
        <v>[0.37875* imageHeight, 0.7825* imageWidth]</v>
      </c>
      <c r="AF37" t="str">
        <f t="shared" si="25"/>
        <v>[0.37875* imageHeight, 0.706666666666667* imageWidth], [0.30625* imageHeight, 0.706666666666667* imageWidth], [0.30625* imageHeight, 0.7825* imageWidth], [0.37875* imageHeight, 0.7825* imageWidth],[0.37875* imageHeight, 0.706666666666667* imageWidth]</v>
      </c>
    </row>
    <row r="38" spans="1:32" x14ac:dyDescent="0.2">
      <c r="A38" t="s">
        <v>77</v>
      </c>
      <c r="B38">
        <v>71</v>
      </c>
      <c r="C38">
        <v>51</v>
      </c>
      <c r="D38">
        <v>775</v>
      </c>
      <c r="E38">
        <v>500</v>
      </c>
      <c r="F38">
        <f t="shared" si="0"/>
        <v>775</v>
      </c>
      <c r="G38">
        <f t="shared" si="1"/>
        <v>551</v>
      </c>
      <c r="H38">
        <f t="shared" si="2"/>
        <v>846</v>
      </c>
      <c r="I38">
        <f t="shared" si="3"/>
        <v>551</v>
      </c>
      <c r="J38">
        <f t="shared" si="3"/>
        <v>846</v>
      </c>
      <c r="K38">
        <f t="shared" si="4"/>
        <v>500</v>
      </c>
      <c r="L38">
        <f t="shared" si="5"/>
        <v>775</v>
      </c>
      <c r="M38">
        <f t="shared" si="6"/>
        <v>300</v>
      </c>
      <c r="N38">
        <f t="shared" si="7"/>
        <v>775</v>
      </c>
      <c r="O38">
        <f t="shared" si="8"/>
        <v>249</v>
      </c>
      <c r="P38">
        <f t="shared" si="9"/>
        <v>846</v>
      </c>
      <c r="Q38">
        <f t="shared" si="10"/>
        <v>249</v>
      </c>
      <c r="R38">
        <f t="shared" si="11"/>
        <v>846</v>
      </c>
      <c r="S38">
        <f t="shared" si="12"/>
        <v>300</v>
      </c>
      <c r="T38">
        <f t="shared" si="13"/>
        <v>0.64583333333333337</v>
      </c>
      <c r="U38">
        <f t="shared" si="14"/>
        <v>0.375</v>
      </c>
      <c r="V38">
        <f t="shared" si="15"/>
        <v>0.64583333333333337</v>
      </c>
      <c r="W38">
        <f t="shared" si="16"/>
        <v>0.31125000000000003</v>
      </c>
      <c r="X38">
        <f t="shared" si="17"/>
        <v>0.70499999999999996</v>
      </c>
      <c r="Y38">
        <f t="shared" si="18"/>
        <v>0.31125000000000003</v>
      </c>
      <c r="Z38">
        <f t="shared" si="19"/>
        <v>0.70499999999999996</v>
      </c>
      <c r="AA38">
        <f t="shared" si="20"/>
        <v>0.375</v>
      </c>
      <c r="AB38" t="str">
        <f t="shared" si="21"/>
        <v>[0.375* imageHeight, 0.645833333333333* imageWidth]</v>
      </c>
      <c r="AC38" t="str">
        <f t="shared" si="22"/>
        <v>[0.31125* imageHeight, 0.645833333333333* imageWidth]</v>
      </c>
      <c r="AD38" t="str">
        <f t="shared" si="23"/>
        <v>[0.31125* imageHeight, 0.705* imageWidth]</v>
      </c>
      <c r="AE38" t="str">
        <f t="shared" si="24"/>
        <v>[0.375* imageHeight, 0.705* imageWidth]</v>
      </c>
      <c r="AF38" t="str">
        <f t="shared" si="25"/>
        <v>[0.375* imageHeight, 0.645833333333333* imageWidth], [0.31125* imageHeight, 0.645833333333333* imageWidth], [0.31125* imageHeight, 0.705* imageWidth], [0.375* imageHeight, 0.705* imageWidth],[0.375* imageHeight, 0.645833333333333* imageWidth]</v>
      </c>
    </row>
    <row r="39" spans="1:32" x14ac:dyDescent="0.2">
      <c r="A39" t="s">
        <v>78</v>
      </c>
      <c r="B39">
        <v>93</v>
      </c>
      <c r="C39">
        <v>56</v>
      </c>
      <c r="D39">
        <v>654</v>
      </c>
      <c r="E39">
        <v>488</v>
      </c>
      <c r="F39">
        <f t="shared" si="0"/>
        <v>654</v>
      </c>
      <c r="G39">
        <f t="shared" si="1"/>
        <v>544</v>
      </c>
      <c r="H39">
        <f t="shared" si="2"/>
        <v>747</v>
      </c>
      <c r="I39">
        <f t="shared" si="3"/>
        <v>544</v>
      </c>
      <c r="J39">
        <f t="shared" si="3"/>
        <v>747</v>
      </c>
      <c r="K39">
        <f t="shared" si="4"/>
        <v>488</v>
      </c>
      <c r="L39">
        <f t="shared" si="5"/>
        <v>654</v>
      </c>
      <c r="M39">
        <f t="shared" si="6"/>
        <v>312</v>
      </c>
      <c r="N39">
        <f t="shared" si="7"/>
        <v>654</v>
      </c>
      <c r="O39">
        <f t="shared" si="8"/>
        <v>256</v>
      </c>
      <c r="P39">
        <f t="shared" si="9"/>
        <v>747</v>
      </c>
      <c r="Q39">
        <f t="shared" si="10"/>
        <v>256</v>
      </c>
      <c r="R39">
        <f t="shared" si="11"/>
        <v>747</v>
      </c>
      <c r="S39">
        <f t="shared" si="12"/>
        <v>312</v>
      </c>
      <c r="T39">
        <f t="shared" si="13"/>
        <v>0.54500000000000004</v>
      </c>
      <c r="U39">
        <f t="shared" si="14"/>
        <v>0.39</v>
      </c>
      <c r="V39">
        <f t="shared" si="15"/>
        <v>0.54500000000000004</v>
      </c>
      <c r="W39">
        <f t="shared" si="16"/>
        <v>0.32</v>
      </c>
      <c r="X39">
        <f t="shared" si="17"/>
        <v>0.62250000000000005</v>
      </c>
      <c r="Y39">
        <f t="shared" si="18"/>
        <v>0.32</v>
      </c>
      <c r="Z39">
        <f t="shared" si="19"/>
        <v>0.62250000000000005</v>
      </c>
      <c r="AA39">
        <f t="shared" si="20"/>
        <v>0.39</v>
      </c>
      <c r="AB39" t="str">
        <f t="shared" si="21"/>
        <v>[0.39* imageHeight, 0.545* imageWidth]</v>
      </c>
      <c r="AC39" t="str">
        <f t="shared" si="22"/>
        <v>[0.32* imageHeight, 0.545* imageWidth]</v>
      </c>
      <c r="AD39" t="str">
        <f t="shared" si="23"/>
        <v>[0.32* imageHeight, 0.6225* imageWidth]</v>
      </c>
      <c r="AE39" t="str">
        <f t="shared" si="24"/>
        <v>[0.39* imageHeight, 0.6225* imageWidth]</v>
      </c>
      <c r="AF39" t="str">
        <f t="shared" si="25"/>
        <v>[0.39* imageHeight, 0.545* imageWidth], [0.32* imageHeight, 0.545* imageWidth], [0.32* imageHeight, 0.6225* imageWidth], [0.39* imageHeight, 0.6225* imageWidth],[0.39* imageHeight, 0.545* imageWidth]</v>
      </c>
    </row>
    <row r="40" spans="1:32" x14ac:dyDescent="0.2">
      <c r="A40" t="s">
        <v>79</v>
      </c>
      <c r="B40">
        <v>102</v>
      </c>
      <c r="C40">
        <v>56</v>
      </c>
      <c r="D40">
        <v>550</v>
      </c>
      <c r="E40">
        <v>488</v>
      </c>
      <c r="F40">
        <f t="shared" si="0"/>
        <v>550</v>
      </c>
      <c r="G40">
        <f t="shared" si="1"/>
        <v>544</v>
      </c>
      <c r="H40">
        <f t="shared" si="2"/>
        <v>652</v>
      </c>
      <c r="I40">
        <f t="shared" si="3"/>
        <v>544</v>
      </c>
      <c r="J40">
        <f t="shared" si="3"/>
        <v>652</v>
      </c>
      <c r="K40">
        <f t="shared" si="4"/>
        <v>488</v>
      </c>
      <c r="L40">
        <f t="shared" si="5"/>
        <v>550</v>
      </c>
      <c r="M40">
        <f t="shared" si="6"/>
        <v>312</v>
      </c>
      <c r="N40">
        <f t="shared" si="7"/>
        <v>550</v>
      </c>
      <c r="O40">
        <f t="shared" si="8"/>
        <v>256</v>
      </c>
      <c r="P40">
        <f t="shared" si="9"/>
        <v>652</v>
      </c>
      <c r="Q40">
        <f t="shared" si="10"/>
        <v>256</v>
      </c>
      <c r="R40">
        <f t="shared" si="11"/>
        <v>652</v>
      </c>
      <c r="S40">
        <f t="shared" si="12"/>
        <v>312</v>
      </c>
      <c r="T40">
        <f t="shared" si="13"/>
        <v>0.45833333333333331</v>
      </c>
      <c r="U40">
        <f t="shared" si="14"/>
        <v>0.39</v>
      </c>
      <c r="V40">
        <f t="shared" si="15"/>
        <v>0.45833333333333331</v>
      </c>
      <c r="W40">
        <f t="shared" si="16"/>
        <v>0.32</v>
      </c>
      <c r="X40">
        <f t="shared" si="17"/>
        <v>0.54333333333333333</v>
      </c>
      <c r="Y40">
        <f t="shared" si="18"/>
        <v>0.32</v>
      </c>
      <c r="Z40">
        <f t="shared" si="19"/>
        <v>0.54333333333333333</v>
      </c>
      <c r="AA40">
        <f t="shared" si="20"/>
        <v>0.39</v>
      </c>
      <c r="AB40" t="str">
        <f t="shared" si="21"/>
        <v>[0.39* imageHeight, 0.458333333333333* imageWidth]</v>
      </c>
      <c r="AC40" t="str">
        <f t="shared" si="22"/>
        <v>[0.32* imageHeight, 0.458333333333333* imageWidth]</v>
      </c>
      <c r="AD40" t="str">
        <f t="shared" si="23"/>
        <v>[0.32* imageHeight, 0.543333333333333* imageWidth]</v>
      </c>
      <c r="AE40" t="str">
        <f t="shared" si="24"/>
        <v>[0.39* imageHeight, 0.543333333333333* imageWidth]</v>
      </c>
      <c r="AF40" t="str">
        <f t="shared" si="25"/>
        <v>[0.39* imageHeight, 0.458333333333333* imageWidth], [0.32* imageHeight, 0.458333333333333* imageWidth], [0.32* imageHeight, 0.543333333333333* imageWidth], [0.39* imageHeight, 0.543333333333333* imageWidth],[0.39* imageHeight, 0.458333333333333* imageWidth]</v>
      </c>
    </row>
    <row r="41" spans="1:32" x14ac:dyDescent="0.2">
      <c r="A41" t="s">
        <v>80</v>
      </c>
      <c r="B41">
        <v>131</v>
      </c>
      <c r="C41">
        <v>56</v>
      </c>
      <c r="D41">
        <v>417</v>
      </c>
      <c r="E41">
        <v>488</v>
      </c>
      <c r="F41">
        <f t="shared" si="0"/>
        <v>417</v>
      </c>
      <c r="G41">
        <f t="shared" si="1"/>
        <v>544</v>
      </c>
      <c r="H41">
        <f t="shared" si="2"/>
        <v>548</v>
      </c>
      <c r="I41">
        <f t="shared" si="3"/>
        <v>544</v>
      </c>
      <c r="J41">
        <f t="shared" si="3"/>
        <v>548</v>
      </c>
      <c r="K41">
        <f t="shared" si="4"/>
        <v>488</v>
      </c>
      <c r="L41">
        <f t="shared" si="5"/>
        <v>417</v>
      </c>
      <c r="M41">
        <f t="shared" si="6"/>
        <v>312</v>
      </c>
      <c r="N41">
        <f t="shared" si="7"/>
        <v>417</v>
      </c>
      <c r="O41">
        <f t="shared" si="8"/>
        <v>256</v>
      </c>
      <c r="P41">
        <f t="shared" si="9"/>
        <v>548</v>
      </c>
      <c r="Q41">
        <f t="shared" si="10"/>
        <v>256</v>
      </c>
      <c r="R41">
        <f t="shared" si="11"/>
        <v>548</v>
      </c>
      <c r="S41">
        <f t="shared" si="12"/>
        <v>312</v>
      </c>
      <c r="T41">
        <f t="shared" si="13"/>
        <v>0.34749999999999998</v>
      </c>
      <c r="U41">
        <f t="shared" si="14"/>
        <v>0.39</v>
      </c>
      <c r="V41">
        <f t="shared" si="15"/>
        <v>0.34749999999999998</v>
      </c>
      <c r="W41">
        <f t="shared" si="16"/>
        <v>0.32</v>
      </c>
      <c r="X41">
        <f t="shared" si="17"/>
        <v>0.45666666666666667</v>
      </c>
      <c r="Y41">
        <f t="shared" si="18"/>
        <v>0.32</v>
      </c>
      <c r="Z41">
        <f t="shared" si="19"/>
        <v>0.45666666666666667</v>
      </c>
      <c r="AA41">
        <f t="shared" si="20"/>
        <v>0.39</v>
      </c>
      <c r="AB41" t="str">
        <f t="shared" si="21"/>
        <v>[0.39* imageHeight, 0.3475* imageWidth]</v>
      </c>
      <c r="AC41" t="str">
        <f t="shared" si="22"/>
        <v>[0.32* imageHeight, 0.3475* imageWidth]</v>
      </c>
      <c r="AD41" t="str">
        <f t="shared" si="23"/>
        <v>[0.32* imageHeight, 0.456666666666667* imageWidth]</v>
      </c>
      <c r="AE41" t="str">
        <f t="shared" si="24"/>
        <v>[0.39* imageHeight, 0.456666666666667* imageWidth]</v>
      </c>
      <c r="AF41" t="str">
        <f t="shared" si="25"/>
        <v>[0.39* imageHeight, 0.3475* imageWidth], [0.32* imageHeight, 0.3475* imageWidth], [0.32* imageHeight, 0.456666666666667* imageWidth], [0.39* imageHeight, 0.456666666666667* imageWidth],[0.39* imageHeight, 0.3475* imageWidth]</v>
      </c>
    </row>
  </sheetData>
  <mergeCells count="3">
    <mergeCell ref="B1:K1"/>
    <mergeCell ref="L1:S1"/>
    <mergeCell ref="T1:AA1"/>
  </mergeCells>
  <pageMargins left="0.7" right="0.7" top="0.75" bottom="0.75" header="0.3" footer="0.3"/>
  <pageSetup orientation="portrait" horizontalDpi="0" verticalDpi="0"/>
  <ignoredErrors>
    <ignoredError sqref="M3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AD0FD-8014-834D-9294-051F4AFB1192}">
  <dimension ref="A1:N59"/>
  <sheetViews>
    <sheetView workbookViewId="0">
      <selection activeCell="B7" sqref="A1:N59"/>
    </sheetView>
  </sheetViews>
  <sheetFormatPr baseColWidth="10" defaultRowHeight="16" x14ac:dyDescent="0.2"/>
  <cols>
    <col min="2" max="2" width="19.6640625" bestFit="1" customWidth="1"/>
    <col min="3" max="5" width="12.5" hidden="1" customWidth="1"/>
    <col min="6" max="9" width="10.83203125" hidden="1" customWidth="1"/>
    <col min="10" max="10" width="10.83203125" customWidth="1"/>
    <col min="11" max="13" width="10.83203125" hidden="1" customWidth="1"/>
  </cols>
  <sheetData>
    <row r="1" spans="1:14" x14ac:dyDescent="0.2">
      <c r="A1" t="s">
        <v>102</v>
      </c>
      <c r="B1" t="s">
        <v>106</v>
      </c>
      <c r="C1" t="s">
        <v>116</v>
      </c>
      <c r="D1" t="s">
        <v>117</v>
      </c>
      <c r="E1" t="s">
        <v>118</v>
      </c>
      <c r="F1" t="s">
        <v>107</v>
      </c>
      <c r="G1" t="s">
        <v>108</v>
      </c>
      <c r="H1" t="s">
        <v>114</v>
      </c>
      <c r="I1" t="s">
        <v>115</v>
      </c>
      <c r="J1" t="s">
        <v>119</v>
      </c>
      <c r="K1" t="s">
        <v>120</v>
      </c>
      <c r="L1" t="s">
        <v>167</v>
      </c>
      <c r="M1" t="s">
        <v>168</v>
      </c>
      <c r="N1" t="s">
        <v>166</v>
      </c>
    </row>
    <row r="2" spans="1:14" x14ac:dyDescent="0.2">
      <c r="A2" t="s">
        <v>103</v>
      </c>
      <c r="B2" t="s">
        <v>109</v>
      </c>
      <c r="C2">
        <v>44</v>
      </c>
      <c r="D2">
        <v>63</v>
      </c>
      <c r="E2">
        <f t="shared" ref="E2:E8" si="0">C2/D2</f>
        <v>0.69841269841269837</v>
      </c>
      <c r="F2">
        <v>231.49480207482799</v>
      </c>
      <c r="G2">
        <v>205.68055343627901</v>
      </c>
      <c r="H2">
        <f t="shared" ref="H2:H7" si="1">F2/800</f>
        <v>0.28936850259353497</v>
      </c>
      <c r="I2">
        <f t="shared" ref="I2:I7" si="2">G2/1200</f>
        <v>0.17140046119689917</v>
      </c>
      <c r="J2">
        <v>20</v>
      </c>
      <c r="K2">
        <f>J2*E2</f>
        <v>13.968253968253968</v>
      </c>
      <c r="L2" t="str">
        <f>_xlfn.CONCAT("[", H2, " * imageHeight", ", ", I2, "* imageWidth", "]")</f>
        <v>[0.289368502593535 * imageHeight, 0.171400461196899* imageWidth]</v>
      </c>
      <c r="M2" t="str">
        <f>_xlfn.CONCAT("[(", H2, " * imageHeight)", " + ",  J2, ", (", I2, "* imageWidth)", " + ", K2, "]" )</f>
        <v>[(0.289368502593535 * imageHeight) + 20, (0.171400461196899* imageWidth) + 13.968253968254]</v>
      </c>
      <c r="N2" t="str">
        <f>_xlfn.CONCAT("[", L2, ", ", M2, "]")</f>
        <v>[[0.289368502593535 * imageHeight, 0.171400461196899* imageWidth], [(0.289368502593535 * imageHeight) + 20, (0.171400461196899* imageWidth) + 13.968253968254]]</v>
      </c>
    </row>
    <row r="3" spans="1:14" x14ac:dyDescent="0.2">
      <c r="A3" t="s">
        <v>104</v>
      </c>
      <c r="B3" t="s">
        <v>109</v>
      </c>
      <c r="C3">
        <v>34</v>
      </c>
      <c r="D3">
        <v>46</v>
      </c>
      <c r="E3">
        <f t="shared" si="0"/>
        <v>0.73913043478260865</v>
      </c>
      <c r="F3">
        <v>199.744804497161</v>
      </c>
      <c r="G3">
        <v>226.18055343627901</v>
      </c>
      <c r="H3">
        <f t="shared" si="1"/>
        <v>0.24968100562145124</v>
      </c>
      <c r="I3">
        <f t="shared" si="2"/>
        <v>0.18848379453023251</v>
      </c>
      <c r="J3">
        <v>20</v>
      </c>
      <c r="K3">
        <f t="shared" ref="K3:K8" si="3">J3*E3</f>
        <v>14.782608695652172</v>
      </c>
      <c r="L3" t="str">
        <f t="shared" ref="L3:L8" si="4">_xlfn.CONCAT("[", H3, " * imageHeight", ", ", I3, "* imageWidth", "]")</f>
        <v>[0.249681005621451 * imageHeight, 0.188483794530233* imageWidth]</v>
      </c>
      <c r="M3" t="str">
        <f t="shared" ref="M3:M8" si="5">_xlfn.CONCAT("[(", H3, " * imageHeight)", " + ",  J3, ", (", I3, "* imageWidth)", " + ", K3, "]" )</f>
        <v>[(0.249681005621451 * imageHeight) + 20, (0.188483794530233* imageWidth) + 14.7826086956522]</v>
      </c>
      <c r="N3" t="str">
        <f t="shared" ref="N3:N8" si="6">_xlfn.CONCAT("[", L3, ", ", M3, "]")</f>
        <v>[[0.249681005621451 * imageHeight, 0.188483794530233* imageWidth], [(0.249681005621451 * imageHeight) + 20, (0.188483794530233* imageWidth) + 14.7826086956522]]</v>
      </c>
    </row>
    <row r="4" spans="1:14" x14ac:dyDescent="0.2">
      <c r="A4" t="s">
        <v>105</v>
      </c>
      <c r="B4" t="s">
        <v>109</v>
      </c>
      <c r="C4">
        <v>44</v>
      </c>
      <c r="D4">
        <v>49</v>
      </c>
      <c r="E4">
        <f t="shared" si="0"/>
        <v>0.89795918367346939</v>
      </c>
      <c r="F4">
        <v>227.744802360931</v>
      </c>
      <c r="G4">
        <v>256.43055343627901</v>
      </c>
      <c r="H4">
        <f t="shared" si="1"/>
        <v>0.28468100295116378</v>
      </c>
      <c r="I4">
        <f t="shared" si="2"/>
        <v>0.21369212786356584</v>
      </c>
      <c r="J4">
        <v>20</v>
      </c>
      <c r="K4">
        <f t="shared" si="3"/>
        <v>17.959183673469386</v>
      </c>
      <c r="L4" t="str">
        <f t="shared" si="4"/>
        <v>[0.284681002951164 * imageHeight, 0.213692127863566* imageWidth]</v>
      </c>
      <c r="M4" t="str">
        <f t="shared" si="5"/>
        <v>[(0.284681002951164 * imageHeight) + 20, (0.213692127863566* imageWidth) + 17.9591836734694]</v>
      </c>
      <c r="N4" t="str">
        <f t="shared" si="6"/>
        <v>[[0.284681002951164 * imageHeight, 0.213692127863566* imageWidth], [(0.284681002951164 * imageHeight) + 20, (0.213692127863566* imageWidth) + 17.9591836734694]]</v>
      </c>
    </row>
    <row r="5" spans="1:14" x14ac:dyDescent="0.2">
      <c r="A5" t="s">
        <v>110</v>
      </c>
      <c r="B5" t="s">
        <v>36</v>
      </c>
      <c r="C5">
        <v>110</v>
      </c>
      <c r="D5">
        <v>97</v>
      </c>
      <c r="E5">
        <f t="shared" si="0"/>
        <v>1.134020618556701</v>
      </c>
      <c r="F5">
        <v>340</v>
      </c>
      <c r="G5">
        <v>875</v>
      </c>
      <c r="H5">
        <f t="shared" si="1"/>
        <v>0.42499999999999999</v>
      </c>
      <c r="I5">
        <f t="shared" si="2"/>
        <v>0.72916666666666663</v>
      </c>
      <c r="J5">
        <v>40</v>
      </c>
      <c r="K5">
        <f t="shared" si="3"/>
        <v>45.360824742268036</v>
      </c>
      <c r="L5" t="str">
        <f t="shared" si="4"/>
        <v>[0.425 * imageHeight, 0.729166666666667* imageWidth]</v>
      </c>
      <c r="M5" t="str">
        <f t="shared" si="5"/>
        <v>[(0.425 * imageHeight) + 40, (0.729166666666667* imageWidth) + 45.360824742268]</v>
      </c>
      <c r="N5" t="str">
        <f t="shared" si="6"/>
        <v>[[0.425 * imageHeight, 0.729166666666667* imageWidth], [(0.425 * imageHeight) + 40, (0.729166666666667* imageWidth) + 45.360824742268]]</v>
      </c>
    </row>
    <row r="6" spans="1:14" x14ac:dyDescent="0.2">
      <c r="A6" t="s">
        <v>111</v>
      </c>
      <c r="B6" t="s">
        <v>113</v>
      </c>
      <c r="C6">
        <v>95</v>
      </c>
      <c r="D6">
        <v>84</v>
      </c>
      <c r="E6">
        <f t="shared" si="0"/>
        <v>1.1309523809523809</v>
      </c>
      <c r="F6">
        <v>110.49479879418899</v>
      </c>
      <c r="G6">
        <v>507.68055343627901</v>
      </c>
      <c r="H6">
        <f t="shared" si="1"/>
        <v>0.13811849849273625</v>
      </c>
      <c r="I6">
        <f t="shared" si="2"/>
        <v>0.42306712786356582</v>
      </c>
      <c r="J6">
        <v>30</v>
      </c>
      <c r="K6">
        <f t="shared" si="3"/>
        <v>33.928571428571431</v>
      </c>
      <c r="L6" t="str">
        <f t="shared" si="4"/>
        <v>[0.138118498492736 * imageHeight, 0.423067127863566* imageWidth]</v>
      </c>
      <c r="M6" t="str">
        <f t="shared" si="5"/>
        <v>[(0.138118498492736 * imageHeight) + 30, (0.423067127863566* imageWidth) + 33.9285714285714]</v>
      </c>
      <c r="N6" t="str">
        <f t="shared" si="6"/>
        <v>[[0.138118498492736 * imageHeight, 0.423067127863566* imageWidth], [(0.138118498492736 * imageHeight) + 30, (0.423067127863566* imageWidth) + 33.9285714285714]]</v>
      </c>
    </row>
    <row r="7" spans="1:14" x14ac:dyDescent="0.2">
      <c r="A7" t="s">
        <v>112</v>
      </c>
      <c r="B7" t="s">
        <v>113</v>
      </c>
      <c r="C7">
        <v>93</v>
      </c>
      <c r="D7">
        <v>65</v>
      </c>
      <c r="E7">
        <f t="shared" si="0"/>
        <v>1.4307692307692308</v>
      </c>
      <c r="F7">
        <v>90</v>
      </c>
      <c r="G7">
        <v>570</v>
      </c>
      <c r="H7">
        <f t="shared" si="1"/>
        <v>0.1125</v>
      </c>
      <c r="I7">
        <f t="shared" si="2"/>
        <v>0.47499999999999998</v>
      </c>
      <c r="J7">
        <v>25</v>
      </c>
      <c r="K7">
        <f t="shared" si="3"/>
        <v>35.769230769230766</v>
      </c>
      <c r="L7" t="str">
        <f t="shared" si="4"/>
        <v>[0.1125 * imageHeight, 0.475* imageWidth]</v>
      </c>
      <c r="M7" t="str">
        <f t="shared" si="5"/>
        <v>[(0.1125 * imageHeight) + 25, (0.475* imageWidth) + 35.7692307692308]</v>
      </c>
      <c r="N7" t="str">
        <f t="shared" si="6"/>
        <v>[[0.1125 * imageHeight, 0.475* imageWidth], [(0.1125 * imageHeight) + 25, (0.475* imageWidth) + 35.7692307692308]]</v>
      </c>
    </row>
    <row r="8" spans="1:14" x14ac:dyDescent="0.2">
      <c r="A8" t="s">
        <v>121</v>
      </c>
      <c r="B8" t="s">
        <v>127</v>
      </c>
      <c r="C8">
        <v>64</v>
      </c>
      <c r="D8">
        <v>45</v>
      </c>
      <c r="E8">
        <f t="shared" si="0"/>
        <v>1.4222222222222223</v>
      </c>
      <c r="F8">
        <v>267.49739830990598</v>
      </c>
      <c r="G8">
        <v>85.618055343627901</v>
      </c>
      <c r="H8">
        <f t="shared" ref="H8:H33" si="7">F8/800</f>
        <v>0.33437174788738244</v>
      </c>
      <c r="I8">
        <f t="shared" ref="I8:I33" si="8">G8/1200</f>
        <v>7.1348379453023247E-2</v>
      </c>
      <c r="J8">
        <v>20</v>
      </c>
      <c r="K8">
        <f t="shared" si="3"/>
        <v>28.444444444444446</v>
      </c>
      <c r="L8" t="str">
        <f t="shared" si="4"/>
        <v>[0.334371747887382 * imageHeight, 0.0713483794530232* imageWidth]</v>
      </c>
      <c r="M8" t="str">
        <f t="shared" si="5"/>
        <v>[(0.334371747887382 * imageHeight) + 20, (0.0713483794530232* imageWidth) + 28.4444444444444]</v>
      </c>
      <c r="N8" t="str">
        <f t="shared" si="6"/>
        <v>[[0.334371747887382 * imageHeight, 0.0713483794530232* imageWidth], [(0.334371747887382 * imageHeight) + 20, (0.0713483794530232* imageWidth) + 28.4444444444444]]</v>
      </c>
    </row>
    <row r="9" spans="1:14" x14ac:dyDescent="0.2">
      <c r="A9" t="s">
        <v>122</v>
      </c>
      <c r="B9" t="s">
        <v>128</v>
      </c>
      <c r="C9">
        <v>64</v>
      </c>
      <c r="D9">
        <v>45</v>
      </c>
      <c r="E9">
        <f t="shared" ref="E9:E59" si="9">C9/D9</f>
        <v>1.4222222222222223</v>
      </c>
      <c r="F9">
        <v>219.122402143676</v>
      </c>
      <c r="G9">
        <v>397.99305534362702</v>
      </c>
      <c r="H9">
        <f t="shared" si="7"/>
        <v>0.273903002679595</v>
      </c>
      <c r="I9">
        <f t="shared" si="8"/>
        <v>0.33166087945302253</v>
      </c>
      <c r="J9">
        <v>20</v>
      </c>
      <c r="K9">
        <f t="shared" ref="K9:K34" si="10">J9*E9</f>
        <v>28.444444444444446</v>
      </c>
      <c r="L9" t="str">
        <f t="shared" ref="L9:L34" si="11">_xlfn.CONCAT("[", H9, " * imageHeight", ", ", I9, "* imageWidth", "]")</f>
        <v>[0.273903002679595 * imageHeight, 0.331660879453023* imageWidth]</v>
      </c>
      <c r="M9" t="str">
        <f t="shared" ref="M9:M34" si="12">_xlfn.CONCAT("[(", H9, " * imageHeight)", " + ",  J9, ", (", I9, "* imageWidth)", " + ", K9, "]" )</f>
        <v>[(0.273903002679595 * imageHeight) + 20, (0.331660879453023* imageWidth) + 28.4444444444444]</v>
      </c>
      <c r="N9" t="str">
        <f t="shared" ref="N9:N34" si="13">_xlfn.CONCAT("[", L9, ", ", M9, "]")</f>
        <v>[[0.273903002679595 * imageHeight, 0.331660879453023* imageWidth], [(0.273903002679595 * imageHeight) + 20, (0.331660879453023* imageWidth) + 28.4444444444444]]</v>
      </c>
    </row>
    <row r="10" spans="1:14" x14ac:dyDescent="0.2">
      <c r="A10" t="s">
        <v>123</v>
      </c>
      <c r="B10" t="s">
        <v>129</v>
      </c>
      <c r="C10">
        <v>64</v>
      </c>
      <c r="D10">
        <v>45</v>
      </c>
      <c r="E10">
        <f t="shared" si="9"/>
        <v>1.4222222222222223</v>
      </c>
      <c r="F10">
        <v>572.99480882684202</v>
      </c>
      <c r="G10">
        <v>868.98611068725495</v>
      </c>
      <c r="H10">
        <f t="shared" si="7"/>
        <v>0.71624351103355255</v>
      </c>
      <c r="I10">
        <f t="shared" si="8"/>
        <v>0.72415509223937913</v>
      </c>
      <c r="J10">
        <v>20</v>
      </c>
      <c r="K10">
        <f t="shared" si="10"/>
        <v>28.444444444444446</v>
      </c>
      <c r="L10" t="str">
        <f t="shared" si="11"/>
        <v>[0.716243511033553 * imageHeight, 0.724155092239379* imageWidth]</v>
      </c>
      <c r="M10" t="str">
        <f t="shared" si="12"/>
        <v>[(0.716243511033553 * imageHeight) + 20, (0.724155092239379* imageWidth) + 28.4444444444444]</v>
      </c>
      <c r="N10" t="str">
        <f t="shared" si="13"/>
        <v>[[0.716243511033553 * imageHeight, 0.724155092239379* imageWidth], [(0.716243511033553 * imageHeight) + 20, (0.724155092239379* imageWidth) + 28.4444444444444]]</v>
      </c>
    </row>
    <row r="11" spans="1:14" x14ac:dyDescent="0.2">
      <c r="A11" t="s">
        <v>124</v>
      </c>
      <c r="B11" t="s">
        <v>130</v>
      </c>
      <c r="C11">
        <v>64</v>
      </c>
      <c r="D11">
        <v>45</v>
      </c>
      <c r="E11">
        <f t="shared" si="9"/>
        <v>1.4222222222222223</v>
      </c>
      <c r="F11">
        <v>322.24481142083602</v>
      </c>
      <c r="G11">
        <v>753.98611068725495</v>
      </c>
      <c r="H11">
        <f t="shared" si="7"/>
        <v>0.40280601427604501</v>
      </c>
      <c r="I11">
        <f t="shared" si="8"/>
        <v>0.6283217589060458</v>
      </c>
      <c r="J11">
        <v>20</v>
      </c>
      <c r="K11">
        <f t="shared" si="10"/>
        <v>28.444444444444446</v>
      </c>
      <c r="L11" t="str">
        <f t="shared" si="11"/>
        <v>[0.402806014276045 * imageHeight, 0.628321758906046* imageWidth]</v>
      </c>
      <c r="M11" t="str">
        <f t="shared" si="12"/>
        <v>[(0.402806014276045 * imageHeight) + 20, (0.628321758906046* imageWidth) + 28.4444444444444]</v>
      </c>
      <c r="N11" t="str">
        <f t="shared" si="13"/>
        <v>[[0.402806014276045 * imageHeight, 0.628321758906046* imageWidth], [(0.402806014276045 * imageHeight) + 20, (0.628321758906046* imageWidth) + 28.4444444444444]]</v>
      </c>
    </row>
    <row r="12" spans="1:14" x14ac:dyDescent="0.2">
      <c r="A12" t="s">
        <v>125</v>
      </c>
      <c r="B12" t="s">
        <v>131</v>
      </c>
      <c r="C12">
        <v>64</v>
      </c>
      <c r="D12">
        <v>45</v>
      </c>
      <c r="E12">
        <f t="shared" si="9"/>
        <v>1.4222222222222223</v>
      </c>
      <c r="F12">
        <v>380.99481794396797</v>
      </c>
      <c r="G12">
        <v>1047.9861106872499</v>
      </c>
      <c r="H12">
        <f t="shared" si="7"/>
        <v>0.47624352242995999</v>
      </c>
      <c r="I12">
        <f t="shared" si="8"/>
        <v>0.87332175890604158</v>
      </c>
      <c r="J12">
        <v>20</v>
      </c>
      <c r="K12">
        <f t="shared" si="10"/>
        <v>28.444444444444446</v>
      </c>
      <c r="L12" t="str">
        <f t="shared" si="11"/>
        <v>[0.47624352242996 * imageHeight, 0.873321758906042* imageWidth]</v>
      </c>
      <c r="M12" t="str">
        <f t="shared" si="12"/>
        <v>[(0.47624352242996 * imageHeight) + 20, (0.873321758906042* imageWidth) + 28.4444444444444]</v>
      </c>
      <c r="N12" t="str">
        <f t="shared" si="13"/>
        <v>[[0.47624352242996 * imageHeight, 0.873321758906042* imageWidth], [(0.47624352242996 * imageHeight) + 20, (0.873321758906042* imageWidth) + 28.4444444444444]]</v>
      </c>
    </row>
    <row r="13" spans="1:14" x14ac:dyDescent="0.2">
      <c r="A13" t="s">
        <v>126</v>
      </c>
      <c r="B13" t="s">
        <v>132</v>
      </c>
      <c r="C13">
        <v>64</v>
      </c>
      <c r="D13">
        <v>45</v>
      </c>
      <c r="E13">
        <f t="shared" si="9"/>
        <v>1.4222222222222223</v>
      </c>
      <c r="F13">
        <v>561.49481441537296</v>
      </c>
      <c r="G13">
        <v>81.486110687255803</v>
      </c>
      <c r="H13">
        <f t="shared" si="7"/>
        <v>0.70186851801921624</v>
      </c>
      <c r="I13">
        <f t="shared" si="8"/>
        <v>6.7905092239379836E-2</v>
      </c>
      <c r="J13">
        <v>20</v>
      </c>
      <c r="K13">
        <f t="shared" si="10"/>
        <v>28.444444444444446</v>
      </c>
      <c r="L13" t="str">
        <f t="shared" si="11"/>
        <v>[0.701868518019216 * imageHeight, 0.0679050922393798* imageWidth]</v>
      </c>
      <c r="M13" t="str">
        <f t="shared" si="12"/>
        <v>[(0.701868518019216 * imageHeight) + 20, (0.0679050922393798* imageWidth) + 28.4444444444444]</v>
      </c>
      <c r="N13" t="str">
        <f t="shared" si="13"/>
        <v>[[0.701868518019216 * imageHeight, 0.0679050922393798* imageWidth], [(0.701868518019216 * imageHeight) + 20, (0.0679050922393798* imageWidth) + 28.4444444444444]]</v>
      </c>
    </row>
    <row r="14" spans="1:14" x14ac:dyDescent="0.2">
      <c r="A14" t="s">
        <v>133</v>
      </c>
      <c r="B14" t="s">
        <v>135</v>
      </c>
      <c r="C14">
        <v>51</v>
      </c>
      <c r="D14">
        <v>45</v>
      </c>
      <c r="E14">
        <f t="shared" si="9"/>
        <v>1.1333333333333333</v>
      </c>
      <c r="F14">
        <v>535.744797802368</v>
      </c>
      <c r="G14">
        <v>689.73611068725495</v>
      </c>
      <c r="H14">
        <f t="shared" si="7"/>
        <v>0.66968099725296004</v>
      </c>
      <c r="I14">
        <f t="shared" si="8"/>
        <v>0.57478009223937909</v>
      </c>
      <c r="J14">
        <v>20</v>
      </c>
      <c r="K14">
        <f t="shared" si="10"/>
        <v>22.666666666666664</v>
      </c>
      <c r="L14" t="str">
        <f t="shared" si="11"/>
        <v>[0.66968099725296 * imageHeight, 0.574780092239379* imageWidth]</v>
      </c>
      <c r="M14" t="str">
        <f t="shared" si="12"/>
        <v>[(0.66968099725296 * imageHeight) + 20, (0.574780092239379* imageWidth) + 22.6666666666667]</v>
      </c>
      <c r="N14" t="str">
        <f t="shared" si="13"/>
        <v>[[0.66968099725296 * imageHeight, 0.574780092239379* imageWidth], [(0.66968099725296 * imageHeight) + 20, (0.574780092239379* imageWidth) + 22.6666666666667]]</v>
      </c>
    </row>
    <row r="15" spans="1:14" x14ac:dyDescent="0.2">
      <c r="A15" t="s">
        <v>134</v>
      </c>
      <c r="B15" t="s">
        <v>135</v>
      </c>
      <c r="C15">
        <v>39</v>
      </c>
      <c r="D15">
        <v>58</v>
      </c>
      <c r="E15">
        <f t="shared" si="9"/>
        <v>0.67241379310344829</v>
      </c>
      <c r="F15">
        <v>564.494795608917</v>
      </c>
      <c r="G15">
        <v>744.98611068725495</v>
      </c>
      <c r="H15">
        <f t="shared" si="7"/>
        <v>0.70561849451114622</v>
      </c>
      <c r="I15">
        <f t="shared" si="8"/>
        <v>0.62082175890604574</v>
      </c>
      <c r="J15">
        <v>20</v>
      </c>
      <c r="K15">
        <f t="shared" si="10"/>
        <v>13.448275862068966</v>
      </c>
      <c r="L15" t="str">
        <f t="shared" si="11"/>
        <v>[0.705618494511146 * imageHeight, 0.620821758906046* imageWidth]</v>
      </c>
      <c r="M15" t="str">
        <f t="shared" si="12"/>
        <v>[(0.705618494511146 * imageHeight) + 20, (0.620821758906046* imageWidth) + 13.448275862069]</v>
      </c>
      <c r="N15" t="str">
        <f t="shared" si="13"/>
        <v>[[0.705618494511146 * imageHeight, 0.620821758906046* imageWidth], [(0.705618494511146 * imageHeight) + 20, (0.620821758906046* imageWidth) + 13.448275862069]]</v>
      </c>
    </row>
    <row r="16" spans="1:14" x14ac:dyDescent="0.2">
      <c r="A16" t="s">
        <v>136</v>
      </c>
      <c r="B16" t="s">
        <v>137</v>
      </c>
      <c r="C16">
        <v>64</v>
      </c>
      <c r="D16">
        <v>65</v>
      </c>
      <c r="E16">
        <f t="shared" si="9"/>
        <v>0.98461538461538467</v>
      </c>
      <c r="F16">
        <v>662.24479082147195</v>
      </c>
      <c r="G16">
        <v>235.98611068725501</v>
      </c>
      <c r="H16">
        <f t="shared" si="7"/>
        <v>0.82780598852683995</v>
      </c>
      <c r="I16">
        <f t="shared" si="8"/>
        <v>0.19665509223937916</v>
      </c>
      <c r="J16">
        <v>25</v>
      </c>
      <c r="K16">
        <f t="shared" si="10"/>
        <v>24.615384615384617</v>
      </c>
      <c r="L16" t="str">
        <f t="shared" si="11"/>
        <v>[0.82780598852684 * imageHeight, 0.196655092239379* imageWidth]</v>
      </c>
      <c r="M16" t="str">
        <f t="shared" si="12"/>
        <v>[(0.82780598852684 * imageHeight) + 25, (0.196655092239379* imageWidth) + 24.6153846153846]</v>
      </c>
      <c r="N16" t="str">
        <f t="shared" si="13"/>
        <v>[[0.82780598852684 * imageHeight, 0.196655092239379* imageWidth], [(0.82780598852684 * imageHeight) + 25, (0.196655092239379* imageWidth) + 24.6153846153846]]</v>
      </c>
    </row>
    <row r="17" spans="1:14" x14ac:dyDescent="0.2">
      <c r="A17" t="s">
        <v>138</v>
      </c>
      <c r="B17" t="s">
        <v>137</v>
      </c>
      <c r="C17">
        <v>44</v>
      </c>
      <c r="D17">
        <v>54</v>
      </c>
      <c r="E17">
        <f t="shared" si="9"/>
        <v>0.81481481481481477</v>
      </c>
      <c r="F17">
        <v>659.99479099313396</v>
      </c>
      <c r="G17">
        <v>197.48611068725501</v>
      </c>
      <c r="H17">
        <f t="shared" si="7"/>
        <v>0.82499348874141742</v>
      </c>
      <c r="I17">
        <f t="shared" si="8"/>
        <v>0.16457175890604583</v>
      </c>
      <c r="J17">
        <v>20</v>
      </c>
      <c r="K17">
        <f t="shared" si="10"/>
        <v>16.296296296296294</v>
      </c>
      <c r="L17" t="str">
        <f t="shared" si="11"/>
        <v>[0.824993488741417 * imageHeight, 0.164571758906046* imageWidth]</v>
      </c>
      <c r="M17" t="str">
        <f t="shared" si="12"/>
        <v>[(0.824993488741417 * imageHeight) + 20, (0.164571758906046* imageWidth) + 16.2962962962963]</v>
      </c>
      <c r="N17" t="str">
        <f t="shared" si="13"/>
        <v>[[0.824993488741417 * imageHeight, 0.164571758906046* imageWidth], [(0.824993488741417 * imageHeight) + 20, (0.164571758906046* imageWidth) + 16.2962962962963]]</v>
      </c>
    </row>
    <row r="18" spans="1:14" x14ac:dyDescent="0.2">
      <c r="A18" t="s">
        <v>139</v>
      </c>
      <c r="B18" t="s">
        <v>142</v>
      </c>
      <c r="C18">
        <v>58</v>
      </c>
      <c r="D18">
        <v>54</v>
      </c>
      <c r="E18">
        <f t="shared" si="9"/>
        <v>1.0740740740740742</v>
      </c>
      <c r="F18">
        <v>380.12240332623202</v>
      </c>
      <c r="G18">
        <v>271.36805534362702</v>
      </c>
      <c r="H18">
        <f t="shared" si="7"/>
        <v>0.47515300415779005</v>
      </c>
      <c r="I18">
        <f t="shared" si="8"/>
        <v>0.22614004611968919</v>
      </c>
      <c r="J18">
        <v>10</v>
      </c>
      <c r="K18">
        <f t="shared" si="10"/>
        <v>10.740740740740742</v>
      </c>
      <c r="L18" t="str">
        <f t="shared" si="11"/>
        <v>[0.47515300415779 * imageHeight, 0.226140046119689* imageWidth]</v>
      </c>
      <c r="M18" t="str">
        <f t="shared" si="12"/>
        <v>[(0.47515300415779 * imageHeight) + 10, (0.226140046119689* imageWidth) + 10.7407407407407]</v>
      </c>
      <c r="N18" t="str">
        <f t="shared" si="13"/>
        <v>[[0.47515300415779 * imageHeight, 0.226140046119689* imageWidth], [(0.47515300415779 * imageHeight) + 10, (0.226140046119689* imageWidth) + 10.7407407407407]]</v>
      </c>
    </row>
    <row r="19" spans="1:14" x14ac:dyDescent="0.2">
      <c r="A19" t="s">
        <v>140</v>
      </c>
      <c r="B19" t="s">
        <v>141</v>
      </c>
      <c r="C19">
        <v>58</v>
      </c>
      <c r="D19">
        <v>54</v>
      </c>
      <c r="E19">
        <f t="shared" si="9"/>
        <v>1.0740740740740742</v>
      </c>
      <c r="F19">
        <v>460.49480230371</v>
      </c>
      <c r="G19">
        <v>437.98611068725501</v>
      </c>
      <c r="H19">
        <f t="shared" si="7"/>
        <v>0.57561850287963745</v>
      </c>
      <c r="I19">
        <f t="shared" si="8"/>
        <v>0.36498842557271249</v>
      </c>
      <c r="J19">
        <v>10</v>
      </c>
      <c r="K19">
        <f t="shared" si="10"/>
        <v>10.740740740740742</v>
      </c>
      <c r="L19" t="str">
        <f t="shared" si="11"/>
        <v>[0.575618502879637 * imageHeight, 0.364988425572712* imageWidth]</v>
      </c>
      <c r="M19" t="str">
        <f t="shared" si="12"/>
        <v>[(0.575618502879637 * imageHeight) + 10, (0.364988425572712* imageWidth) + 10.7407407407407]</v>
      </c>
      <c r="N19" t="str">
        <f t="shared" si="13"/>
        <v>[[0.575618502879637 * imageHeight, 0.364988425572712* imageWidth], [(0.575618502879637 * imageHeight) + 10, (0.364988425572712* imageWidth) + 10.7407407407407]]</v>
      </c>
    </row>
    <row r="20" spans="1:14" x14ac:dyDescent="0.2">
      <c r="A20" t="s">
        <v>143</v>
      </c>
      <c r="B20" t="s">
        <v>144</v>
      </c>
      <c r="C20">
        <v>72</v>
      </c>
      <c r="D20">
        <v>72</v>
      </c>
      <c r="E20">
        <f t="shared" si="9"/>
        <v>1</v>
      </c>
      <c r="F20">
        <v>247.489602814514</v>
      </c>
      <c r="G20">
        <v>1000.47222137451</v>
      </c>
      <c r="H20">
        <f t="shared" si="7"/>
        <v>0.30936200351814253</v>
      </c>
      <c r="I20">
        <f t="shared" si="8"/>
        <v>0.833726851145425</v>
      </c>
      <c r="J20">
        <v>25</v>
      </c>
      <c r="K20">
        <f t="shared" si="10"/>
        <v>25</v>
      </c>
      <c r="L20" t="str">
        <f t="shared" si="11"/>
        <v>[0.309362003518143 * imageHeight, 0.833726851145425* imageWidth]</v>
      </c>
      <c r="M20" t="str">
        <f t="shared" si="12"/>
        <v>[(0.309362003518143 * imageHeight) + 25, (0.833726851145425* imageWidth) + 25]</v>
      </c>
      <c r="N20" t="str">
        <f t="shared" si="13"/>
        <v>[[0.309362003518143 * imageHeight, 0.833726851145425* imageWidth], [(0.309362003518143 * imageHeight) + 25, (0.833726851145425* imageWidth) + 25]]</v>
      </c>
    </row>
    <row r="21" spans="1:14" x14ac:dyDescent="0.2">
      <c r="A21" t="s">
        <v>145</v>
      </c>
      <c r="B21" t="s">
        <v>146</v>
      </c>
      <c r="C21">
        <v>59</v>
      </c>
      <c r="D21">
        <v>41</v>
      </c>
      <c r="E21">
        <f t="shared" si="9"/>
        <v>1.4390243902439024</v>
      </c>
      <c r="F21">
        <v>666.93923969732305</v>
      </c>
      <c r="G21">
        <v>399.48611068725501</v>
      </c>
      <c r="H21">
        <f t="shared" si="7"/>
        <v>0.83367404962165381</v>
      </c>
      <c r="I21">
        <f t="shared" si="8"/>
        <v>0.3329050922393792</v>
      </c>
      <c r="J21">
        <v>10</v>
      </c>
      <c r="K21">
        <f t="shared" si="10"/>
        <v>14.390243902439025</v>
      </c>
      <c r="L21" t="str">
        <f t="shared" si="11"/>
        <v>[0.833674049621654 * imageHeight, 0.332905092239379* imageWidth]</v>
      </c>
      <c r="M21" t="str">
        <f t="shared" si="12"/>
        <v>[(0.833674049621654 * imageHeight) + 10, (0.332905092239379* imageWidth) + 14.390243902439]</v>
      </c>
      <c r="N21" t="str">
        <f t="shared" si="13"/>
        <v>[[0.833674049621654 * imageHeight, 0.332905092239379* imageWidth], [(0.833674049621654 * imageHeight) + 10, (0.332905092239379* imageWidth) + 14.390243902439]]</v>
      </c>
    </row>
    <row r="22" spans="1:14" x14ac:dyDescent="0.2">
      <c r="A22" t="s">
        <v>147</v>
      </c>
      <c r="B22" t="s">
        <v>146</v>
      </c>
      <c r="C22">
        <v>40</v>
      </c>
      <c r="D22">
        <v>42</v>
      </c>
      <c r="E22">
        <f t="shared" si="9"/>
        <v>0.95238095238095233</v>
      </c>
      <c r="F22">
        <v>624.689242920742</v>
      </c>
      <c r="G22">
        <v>414.48611068725501</v>
      </c>
      <c r="H22">
        <f t="shared" si="7"/>
        <v>0.78086155365092746</v>
      </c>
      <c r="I22">
        <f t="shared" si="8"/>
        <v>0.34540509223937915</v>
      </c>
      <c r="J22">
        <v>10</v>
      </c>
      <c r="K22">
        <f t="shared" si="10"/>
        <v>9.5238095238095237</v>
      </c>
      <c r="L22" t="str">
        <f t="shared" si="11"/>
        <v>[0.780861553650927 * imageHeight, 0.345405092239379* imageWidth]</v>
      </c>
      <c r="M22" t="str">
        <f t="shared" si="12"/>
        <v>[(0.780861553650927 * imageHeight) + 10, (0.345405092239379* imageWidth) + 9.52380952380952]</v>
      </c>
      <c r="N22" t="str">
        <f t="shared" si="13"/>
        <v>[[0.780861553650927 * imageHeight, 0.345405092239379* imageWidth], [(0.780861553650927 * imageHeight) + 10, (0.345405092239379* imageWidth) + 9.52380952380952]]</v>
      </c>
    </row>
    <row r="23" spans="1:14" x14ac:dyDescent="0.2">
      <c r="A23" t="s">
        <v>148</v>
      </c>
      <c r="B23" t="s">
        <v>149</v>
      </c>
      <c r="C23">
        <v>65</v>
      </c>
      <c r="D23">
        <v>63</v>
      </c>
      <c r="E23">
        <f t="shared" si="9"/>
        <v>1.0317460317460319</v>
      </c>
      <c r="F23">
        <v>656.43923769460696</v>
      </c>
      <c r="G23">
        <v>555.98611068725495</v>
      </c>
      <c r="H23">
        <f t="shared" si="7"/>
        <v>0.82054904711825871</v>
      </c>
      <c r="I23">
        <f t="shared" si="8"/>
        <v>0.46332175890604577</v>
      </c>
      <c r="J23">
        <v>20</v>
      </c>
      <c r="K23">
        <f t="shared" si="10"/>
        <v>20.634920634920636</v>
      </c>
      <c r="L23" t="str">
        <f t="shared" si="11"/>
        <v>[0.820549047118259 * imageHeight, 0.463321758906046* imageWidth]</v>
      </c>
      <c r="M23" t="str">
        <f t="shared" si="12"/>
        <v>[(0.820549047118259 * imageHeight) + 20, (0.463321758906046* imageWidth) + 20.6349206349206]</v>
      </c>
      <c r="N23" t="str">
        <f t="shared" si="13"/>
        <v>[[0.820549047118259 * imageHeight, 0.463321758906046* imageWidth], [(0.820549047118259 * imageHeight) + 20, (0.463321758906046* imageWidth) + 20.6349206349206]]</v>
      </c>
    </row>
    <row r="24" spans="1:14" x14ac:dyDescent="0.2">
      <c r="A24" t="s">
        <v>150</v>
      </c>
      <c r="B24" t="s">
        <v>151</v>
      </c>
      <c r="C24">
        <v>38</v>
      </c>
      <c r="D24">
        <v>50</v>
      </c>
      <c r="E24">
        <f t="shared" si="9"/>
        <v>0.76</v>
      </c>
      <c r="F24">
        <v>662.87848137828905</v>
      </c>
      <c r="G24">
        <v>639.97222137451104</v>
      </c>
      <c r="H24">
        <f t="shared" si="7"/>
        <v>0.8285981017228613</v>
      </c>
      <c r="I24">
        <f t="shared" si="8"/>
        <v>0.53331018447875922</v>
      </c>
      <c r="J24">
        <v>15</v>
      </c>
      <c r="K24">
        <f t="shared" si="10"/>
        <v>11.4</v>
      </c>
      <c r="L24" t="str">
        <f t="shared" si="11"/>
        <v>[0.828598101722861 * imageHeight, 0.533310184478759* imageWidth]</v>
      </c>
      <c r="M24" t="str">
        <f t="shared" si="12"/>
        <v>[(0.828598101722861 * imageHeight) + 15, (0.533310184478759* imageWidth) + 11.4]</v>
      </c>
      <c r="N24" t="str">
        <f t="shared" si="13"/>
        <v>[[0.828598101722861 * imageHeight, 0.533310184478759* imageWidth], [(0.828598101722861 * imageHeight) + 15, (0.533310184478759* imageWidth) + 11.4]]</v>
      </c>
    </row>
    <row r="25" spans="1:14" x14ac:dyDescent="0.2">
      <c r="A25" t="s">
        <v>152</v>
      </c>
      <c r="B25" t="s">
        <v>149</v>
      </c>
      <c r="C25">
        <v>73</v>
      </c>
      <c r="D25">
        <v>64</v>
      </c>
      <c r="E25">
        <f t="shared" si="9"/>
        <v>1.140625</v>
      </c>
      <c r="F25">
        <v>591.87848679515901</v>
      </c>
      <c r="G25">
        <v>620.97222137451104</v>
      </c>
      <c r="H25">
        <f t="shared" si="7"/>
        <v>0.73984810849394878</v>
      </c>
      <c r="I25">
        <f t="shared" si="8"/>
        <v>0.51747685114542585</v>
      </c>
      <c r="J25">
        <v>20</v>
      </c>
      <c r="K25">
        <f t="shared" si="10"/>
        <v>22.8125</v>
      </c>
      <c r="L25" t="str">
        <f t="shared" si="11"/>
        <v>[0.739848108493949 * imageHeight, 0.517476851145426* imageWidth]</v>
      </c>
      <c r="M25" t="str">
        <f t="shared" si="12"/>
        <v>[(0.739848108493949 * imageHeight) + 20, (0.517476851145426* imageWidth) + 22.8125]</v>
      </c>
      <c r="N25" t="str">
        <f t="shared" si="13"/>
        <v>[[0.739848108493949 * imageHeight, 0.517476851145426* imageWidth], [(0.739848108493949 * imageHeight) + 20, (0.517476851145426* imageWidth) + 22.8125]]</v>
      </c>
    </row>
    <row r="26" spans="1:14" x14ac:dyDescent="0.2">
      <c r="A26" t="s">
        <v>154</v>
      </c>
      <c r="B26" t="s">
        <v>153</v>
      </c>
      <c r="C26">
        <v>81</v>
      </c>
      <c r="D26">
        <v>41</v>
      </c>
      <c r="E26">
        <f t="shared" si="9"/>
        <v>1.975609756097561</v>
      </c>
      <c r="F26">
        <v>534.18924561010397</v>
      </c>
      <c r="G26">
        <v>517.23611068725495</v>
      </c>
      <c r="H26">
        <f t="shared" si="7"/>
        <v>0.66773655701262991</v>
      </c>
      <c r="I26">
        <f t="shared" si="8"/>
        <v>0.4310300922393791</v>
      </c>
      <c r="J26">
        <v>12</v>
      </c>
      <c r="K26">
        <f t="shared" si="10"/>
        <v>23.707317073170731</v>
      </c>
      <c r="L26" t="str">
        <f t="shared" si="11"/>
        <v>[0.66773655701263 * imageHeight, 0.431030092239379* imageWidth]</v>
      </c>
      <c r="M26" t="str">
        <f t="shared" si="12"/>
        <v>[(0.66773655701263 * imageHeight) + 12, (0.431030092239379* imageWidth) + 23.7073170731707]</v>
      </c>
      <c r="N26" t="str">
        <f t="shared" si="13"/>
        <v>[[0.66773655701263 * imageHeight, 0.431030092239379* imageWidth], [(0.66773655701263 * imageHeight) + 12, (0.431030092239379* imageWidth) + 23.7073170731707]]</v>
      </c>
    </row>
    <row r="27" spans="1:14" x14ac:dyDescent="0.2">
      <c r="A27" t="s">
        <v>155</v>
      </c>
      <c r="B27" t="s">
        <v>156</v>
      </c>
      <c r="C27">
        <v>94</v>
      </c>
      <c r="D27">
        <v>80</v>
      </c>
      <c r="E27">
        <f t="shared" si="9"/>
        <v>1.175</v>
      </c>
      <c r="F27">
        <v>718.43923723684395</v>
      </c>
      <c r="G27">
        <v>457.48611068725501</v>
      </c>
      <c r="H27">
        <f t="shared" si="7"/>
        <v>0.89804904654605489</v>
      </c>
      <c r="I27">
        <f t="shared" si="8"/>
        <v>0.38123842557271248</v>
      </c>
      <c r="J27">
        <v>25</v>
      </c>
      <c r="K27">
        <f t="shared" si="10"/>
        <v>29.375</v>
      </c>
      <c r="L27" t="str">
        <f t="shared" si="11"/>
        <v>[0.898049046546055 * imageHeight, 0.381238425572712* imageWidth]</v>
      </c>
      <c r="M27" t="str">
        <f t="shared" si="12"/>
        <v>[(0.898049046546055 * imageHeight) + 25, (0.381238425572712* imageWidth) + 29.375]</v>
      </c>
      <c r="N27" t="str">
        <f t="shared" si="13"/>
        <v>[[0.898049046546055 * imageHeight, 0.381238425572712* imageWidth], [(0.898049046546055 * imageHeight) + 25, (0.381238425572712* imageWidth) + 29.375]]</v>
      </c>
    </row>
    <row r="28" spans="1:14" x14ac:dyDescent="0.2">
      <c r="A28" t="s">
        <v>157</v>
      </c>
      <c r="B28" t="s">
        <v>158</v>
      </c>
      <c r="C28">
        <v>70</v>
      </c>
      <c r="D28">
        <v>70</v>
      </c>
      <c r="E28">
        <f t="shared" si="9"/>
        <v>1</v>
      </c>
      <c r="F28">
        <v>737.18924049840996</v>
      </c>
      <c r="G28">
        <v>316.73611068725501</v>
      </c>
      <c r="H28">
        <f t="shared" si="7"/>
        <v>0.92148655062301243</v>
      </c>
      <c r="I28">
        <f t="shared" si="8"/>
        <v>0.26394675890604585</v>
      </c>
      <c r="J28">
        <v>30</v>
      </c>
      <c r="K28">
        <f t="shared" si="10"/>
        <v>30</v>
      </c>
      <c r="L28" t="str">
        <f t="shared" si="11"/>
        <v>[0.921486550623012 * imageHeight, 0.263946758906046* imageWidth]</v>
      </c>
      <c r="M28" t="str">
        <f t="shared" si="12"/>
        <v>[(0.921486550623012 * imageHeight) + 30, (0.263946758906046* imageWidth) + 30]</v>
      </c>
      <c r="N28" t="str">
        <f t="shared" si="13"/>
        <v>[[0.921486550623012 * imageHeight, 0.263946758906046* imageWidth], [(0.921486550623012 * imageHeight) + 30, (0.263946758906046* imageWidth) + 30]]</v>
      </c>
    </row>
    <row r="29" spans="1:14" x14ac:dyDescent="0.2">
      <c r="A29" t="s">
        <v>159</v>
      </c>
      <c r="B29" t="s">
        <v>160</v>
      </c>
      <c r="C29">
        <v>48</v>
      </c>
      <c r="D29">
        <v>35</v>
      </c>
      <c r="E29">
        <f t="shared" si="9"/>
        <v>1.3714285714285714</v>
      </c>
      <c r="F29">
        <v>708.43924269186004</v>
      </c>
      <c r="G29">
        <v>156.98611068725501</v>
      </c>
      <c r="H29">
        <f t="shared" si="7"/>
        <v>0.88554905336482503</v>
      </c>
      <c r="I29">
        <f t="shared" si="8"/>
        <v>0.13082175890604583</v>
      </c>
      <c r="J29">
        <v>10</v>
      </c>
      <c r="K29">
        <f t="shared" si="10"/>
        <v>13.714285714285715</v>
      </c>
      <c r="L29" t="str">
        <f t="shared" si="11"/>
        <v>[0.885549053364825 * imageHeight, 0.130821758906046* imageWidth]</v>
      </c>
      <c r="M29" t="str">
        <f t="shared" si="12"/>
        <v>[(0.885549053364825 * imageHeight) + 10, (0.130821758906046* imageWidth) + 13.7142857142857]</v>
      </c>
      <c r="N29" t="str">
        <f t="shared" si="13"/>
        <v>[[0.885549053364825 * imageHeight, 0.130821758906046* imageWidth], [(0.885549053364825 * imageHeight) + 10, (0.130821758906046* imageWidth) + 13.7142857142857]]</v>
      </c>
    </row>
    <row r="30" spans="1:14" x14ac:dyDescent="0.2">
      <c r="A30" t="s">
        <v>161</v>
      </c>
      <c r="B30" t="s">
        <v>160</v>
      </c>
      <c r="C30">
        <v>50</v>
      </c>
      <c r="D30">
        <v>52</v>
      </c>
      <c r="E30">
        <f t="shared" si="9"/>
        <v>0.96153846153846156</v>
      </c>
      <c r="F30">
        <v>732.43924086080597</v>
      </c>
      <c r="G30">
        <v>163.23611068725501</v>
      </c>
      <c r="H30">
        <f t="shared" si="7"/>
        <v>0.91554905107600748</v>
      </c>
      <c r="I30">
        <f t="shared" si="8"/>
        <v>0.13603009223937917</v>
      </c>
      <c r="J30">
        <v>15</v>
      </c>
      <c r="K30">
        <f t="shared" si="10"/>
        <v>14.423076923076923</v>
      </c>
      <c r="L30" t="str">
        <f t="shared" si="11"/>
        <v>[0.915549051076007 * imageHeight, 0.136030092239379* imageWidth]</v>
      </c>
      <c r="M30" t="str">
        <f t="shared" si="12"/>
        <v>[(0.915549051076007 * imageHeight) + 15, (0.136030092239379* imageWidth) + 14.4230769230769]</v>
      </c>
      <c r="N30" t="str">
        <f t="shared" si="13"/>
        <v>[[0.915549051076007 * imageHeight, 0.136030092239379* imageWidth], [(0.915549051076007 * imageHeight) + 15, (0.136030092239379* imageWidth) + 14.4230769230769]]</v>
      </c>
    </row>
    <row r="31" spans="1:14" x14ac:dyDescent="0.2">
      <c r="A31" t="s">
        <v>162</v>
      </c>
      <c r="B31" t="s">
        <v>25</v>
      </c>
      <c r="C31">
        <v>38</v>
      </c>
      <c r="D31">
        <v>46</v>
      </c>
      <c r="E31">
        <f t="shared" si="9"/>
        <v>0.82608695652173914</v>
      </c>
      <c r="F31">
        <v>325.21962210886898</v>
      </c>
      <c r="G31">
        <v>103.11805534362701</v>
      </c>
      <c r="H31">
        <f t="shared" si="7"/>
        <v>0.40652452763608621</v>
      </c>
      <c r="I31">
        <f t="shared" si="8"/>
        <v>8.5931712786355835E-2</v>
      </c>
      <c r="J31">
        <v>10</v>
      </c>
      <c r="K31">
        <f t="shared" si="10"/>
        <v>8.2608695652173907</v>
      </c>
      <c r="L31" t="str">
        <f t="shared" si="11"/>
        <v>[0.406524527636086 * imageHeight, 0.0859317127863558* imageWidth]</v>
      </c>
      <c r="M31" t="str">
        <f t="shared" si="12"/>
        <v>[(0.406524527636086 * imageHeight) + 10, (0.0859317127863558* imageWidth) + 8.26086956521739]</v>
      </c>
      <c r="N31" t="str">
        <f t="shared" si="13"/>
        <v>[[0.406524527636086 * imageHeight, 0.0859317127863558* imageWidth], [(0.406524527636086 * imageHeight) + 10, (0.0859317127863558* imageWidth) + 8.26086956521739]]</v>
      </c>
    </row>
    <row r="32" spans="1:14" x14ac:dyDescent="0.2">
      <c r="A32" t="s">
        <v>163</v>
      </c>
      <c r="B32" t="s">
        <v>25</v>
      </c>
      <c r="C32">
        <v>52</v>
      </c>
      <c r="D32">
        <v>31</v>
      </c>
      <c r="E32">
        <f t="shared" si="9"/>
        <v>1.6774193548387097</v>
      </c>
      <c r="F32">
        <v>348.594620325498</v>
      </c>
      <c r="G32">
        <v>129.99305534362699</v>
      </c>
      <c r="H32">
        <f t="shared" si="7"/>
        <v>0.43574327540687252</v>
      </c>
      <c r="I32">
        <f t="shared" si="8"/>
        <v>0.10832754611968916</v>
      </c>
      <c r="J32">
        <v>10</v>
      </c>
      <c r="K32">
        <f t="shared" si="10"/>
        <v>16.774193548387096</v>
      </c>
      <c r="L32" t="str">
        <f t="shared" si="11"/>
        <v>[0.435743275406873 * imageHeight, 0.108327546119689* imageWidth]</v>
      </c>
      <c r="M32" t="str">
        <f t="shared" si="12"/>
        <v>[(0.435743275406873 * imageHeight) + 10, (0.108327546119689* imageWidth) + 16.7741935483871]</v>
      </c>
      <c r="N32" t="str">
        <f t="shared" si="13"/>
        <v>[[0.435743275406873 * imageHeight, 0.108327546119689* imageWidth], [(0.435743275406873 * imageHeight) + 10, (0.108327546119689* imageWidth) + 16.7741935483871]]</v>
      </c>
    </row>
    <row r="33" spans="1:14" x14ac:dyDescent="0.2">
      <c r="A33" t="s">
        <v>164</v>
      </c>
      <c r="B33" t="s">
        <v>165</v>
      </c>
      <c r="C33">
        <v>73</v>
      </c>
      <c r="D33">
        <v>59</v>
      </c>
      <c r="E33">
        <f t="shared" si="9"/>
        <v>1.2372881355932204</v>
      </c>
      <c r="F33">
        <v>423.87847496959802</v>
      </c>
      <c r="G33">
        <v>210.47222137451101</v>
      </c>
      <c r="H33">
        <f t="shared" si="7"/>
        <v>0.52984809371199748</v>
      </c>
      <c r="I33">
        <f t="shared" si="8"/>
        <v>0.1753935178120925</v>
      </c>
      <c r="J33">
        <v>15</v>
      </c>
      <c r="K33">
        <f t="shared" si="10"/>
        <v>18.559322033898304</v>
      </c>
      <c r="L33" t="str">
        <f t="shared" si="11"/>
        <v>[0.529848093711997 * imageHeight, 0.175393517812093* imageWidth]</v>
      </c>
      <c r="M33" t="str">
        <f t="shared" si="12"/>
        <v>[(0.529848093711997 * imageHeight) + 15, (0.175393517812093* imageWidth) + 18.5593220338983]</v>
      </c>
      <c r="N33" t="str">
        <f t="shared" si="13"/>
        <v>[[0.529848093711997 * imageHeight, 0.175393517812093* imageWidth], [(0.529848093711997 * imageHeight) + 15, (0.175393517812093* imageWidth) + 18.5593220338983]]</v>
      </c>
    </row>
    <row r="34" spans="1:14" x14ac:dyDescent="0.2">
      <c r="A34" t="s">
        <v>169</v>
      </c>
      <c r="B34" t="s">
        <v>170</v>
      </c>
      <c r="C34">
        <v>48</v>
      </c>
      <c r="D34">
        <v>48</v>
      </c>
      <c r="E34">
        <f t="shared" si="9"/>
        <v>1</v>
      </c>
      <c r="F34">
        <v>658.41580271409498</v>
      </c>
      <c r="G34">
        <v>341.99652481079102</v>
      </c>
      <c r="H34">
        <f t="shared" ref="H34:H59" si="14">F34/800</f>
        <v>0.82301975339261868</v>
      </c>
      <c r="I34">
        <f t="shared" ref="I34:I59" si="15">G34/1200</f>
        <v>0.28499710400899253</v>
      </c>
      <c r="J34">
        <v>15</v>
      </c>
      <c r="K34">
        <f t="shared" si="10"/>
        <v>15</v>
      </c>
      <c r="L34" t="str">
        <f t="shared" si="11"/>
        <v>[0.823019753392619 * imageHeight, 0.284997104008993* imageWidth]</v>
      </c>
      <c r="M34" t="str">
        <f t="shared" si="12"/>
        <v>[(0.823019753392619 * imageHeight) + 15, (0.284997104008993* imageWidth) + 15]</v>
      </c>
      <c r="N34" t="str">
        <f t="shared" si="13"/>
        <v>[[0.823019753392619 * imageHeight, 0.284997104008993* imageWidth], [(0.823019753392619 * imageHeight) + 15, (0.284997104008993* imageWidth) + 15]]</v>
      </c>
    </row>
    <row r="35" spans="1:14" x14ac:dyDescent="0.2">
      <c r="A35" t="s">
        <v>171</v>
      </c>
      <c r="B35" t="s">
        <v>172</v>
      </c>
      <c r="C35">
        <v>54</v>
      </c>
      <c r="D35">
        <v>38</v>
      </c>
      <c r="E35">
        <f t="shared" si="9"/>
        <v>1.4210526315789473</v>
      </c>
      <c r="F35">
        <v>547.41580601380804</v>
      </c>
      <c r="G35">
        <v>352.49652481079102</v>
      </c>
      <c r="H35">
        <f t="shared" si="14"/>
        <v>0.68426975751726005</v>
      </c>
      <c r="I35">
        <f t="shared" si="15"/>
        <v>0.29374710400899251</v>
      </c>
      <c r="J35">
        <v>15</v>
      </c>
      <c r="K35">
        <f t="shared" ref="K35:K59" si="16">J35*E35</f>
        <v>21.315789473684209</v>
      </c>
      <c r="L35" t="str">
        <f t="shared" ref="L35:L59" si="17">_xlfn.CONCAT("[", H35, " * imageHeight", ", ", I35, "* imageWidth", "]")</f>
        <v>[0.68426975751726 * imageHeight, 0.293747104008993* imageWidth]</v>
      </c>
      <c r="M35" t="str">
        <f t="shared" ref="M35:M59" si="18">_xlfn.CONCAT("[(", H35, " * imageHeight)", " + ",  J35, ", (", I35, "* imageWidth)", " + ", K35, "]" )</f>
        <v>[(0.68426975751726 * imageHeight) + 15, (0.293747104008993* imageWidth) + 21.3157894736842]</v>
      </c>
      <c r="N35" t="str">
        <f t="shared" ref="N35:N59" si="19">_xlfn.CONCAT("[", L35, ", ", M35, "]")</f>
        <v>[[0.68426975751726 * imageHeight, 0.293747104008993* imageWidth], [(0.68426975751726 * imageHeight) + 15, (0.293747104008993* imageWidth) + 21.3157894736842]]</v>
      </c>
    </row>
    <row r="36" spans="1:14" x14ac:dyDescent="0.2">
      <c r="A36" t="s">
        <v>173</v>
      </c>
      <c r="B36" t="s">
        <v>175</v>
      </c>
      <c r="C36">
        <v>64</v>
      </c>
      <c r="D36">
        <v>55</v>
      </c>
      <c r="E36">
        <f t="shared" si="9"/>
        <v>1.1636363636363636</v>
      </c>
      <c r="F36">
        <v>507</v>
      </c>
      <c r="G36">
        <v>279.046875</v>
      </c>
      <c r="H36">
        <f t="shared" si="14"/>
        <v>0.63375000000000004</v>
      </c>
      <c r="I36">
        <f t="shared" si="15"/>
        <v>0.2325390625</v>
      </c>
      <c r="J36">
        <v>15</v>
      </c>
      <c r="K36">
        <f t="shared" si="16"/>
        <v>17.454545454545453</v>
      </c>
      <c r="L36" t="str">
        <f t="shared" si="17"/>
        <v>[0.63375 * imageHeight, 0.2325390625* imageWidth]</v>
      </c>
      <c r="M36" t="str">
        <f t="shared" si="18"/>
        <v>[(0.63375 * imageHeight) + 15, (0.2325390625* imageWidth) + 17.4545454545455]</v>
      </c>
      <c r="N36" t="str">
        <f t="shared" si="19"/>
        <v>[[0.63375 * imageHeight, 0.2325390625* imageWidth], [(0.63375 * imageHeight) + 15, (0.2325390625* imageWidth) + 17.4545454545455]]</v>
      </c>
    </row>
    <row r="37" spans="1:14" x14ac:dyDescent="0.2">
      <c r="A37" t="s">
        <v>174</v>
      </c>
      <c r="B37" t="s">
        <v>175</v>
      </c>
      <c r="C37">
        <v>54</v>
      </c>
      <c r="D37">
        <v>52</v>
      </c>
      <c r="E37">
        <f t="shared" si="9"/>
        <v>1.0384615384615385</v>
      </c>
      <c r="F37">
        <v>477.5</v>
      </c>
      <c r="G37">
        <v>312.546875</v>
      </c>
      <c r="H37">
        <f t="shared" si="14"/>
        <v>0.59687500000000004</v>
      </c>
      <c r="I37">
        <f t="shared" si="15"/>
        <v>0.26045572916666665</v>
      </c>
      <c r="J37">
        <v>15</v>
      </c>
      <c r="K37">
        <f t="shared" si="16"/>
        <v>15.576923076923078</v>
      </c>
      <c r="L37" t="str">
        <f t="shared" si="17"/>
        <v>[0.596875 * imageHeight, 0.260455729166667* imageWidth]</v>
      </c>
      <c r="M37" t="str">
        <f t="shared" si="18"/>
        <v>[(0.596875 * imageHeight) + 15, (0.260455729166667* imageWidth) + 15.5769230769231]</v>
      </c>
      <c r="N37" t="str">
        <f t="shared" si="19"/>
        <v>[[0.596875 * imageHeight, 0.260455729166667* imageWidth], [(0.596875 * imageHeight) + 15, (0.260455729166667* imageWidth) + 15.5769230769231]]</v>
      </c>
    </row>
    <row r="38" spans="1:14" x14ac:dyDescent="0.2">
      <c r="A38" t="s">
        <v>176</v>
      </c>
      <c r="B38" t="s">
        <v>172</v>
      </c>
      <c r="C38">
        <v>61</v>
      </c>
      <c r="D38">
        <v>45</v>
      </c>
      <c r="E38">
        <f t="shared" si="9"/>
        <v>1.3555555555555556</v>
      </c>
      <c r="F38">
        <v>564.75</v>
      </c>
      <c r="G38">
        <v>406.796875</v>
      </c>
      <c r="H38">
        <f t="shared" si="14"/>
        <v>0.7059375</v>
      </c>
      <c r="I38">
        <f t="shared" si="15"/>
        <v>0.33899739583333333</v>
      </c>
      <c r="J38">
        <v>15</v>
      </c>
      <c r="K38">
        <f t="shared" si="16"/>
        <v>20.333333333333336</v>
      </c>
      <c r="L38" t="str">
        <f t="shared" si="17"/>
        <v>[0.7059375 * imageHeight, 0.338997395833333* imageWidth]</v>
      </c>
      <c r="M38" t="str">
        <f t="shared" si="18"/>
        <v>[(0.7059375 * imageHeight) + 15, (0.338997395833333* imageWidth) + 20.3333333333333]</v>
      </c>
      <c r="N38" t="str">
        <f t="shared" si="19"/>
        <v>[[0.7059375 * imageHeight, 0.338997395833333* imageWidth], [(0.7059375 * imageHeight) + 15, (0.338997395833333* imageWidth) + 20.3333333333333]]</v>
      </c>
    </row>
    <row r="39" spans="1:14" x14ac:dyDescent="0.2">
      <c r="A39" t="s">
        <v>177</v>
      </c>
      <c r="B39" t="s">
        <v>153</v>
      </c>
      <c r="C39">
        <v>38</v>
      </c>
      <c r="D39">
        <v>52</v>
      </c>
      <c r="E39">
        <f t="shared" si="9"/>
        <v>0.73076923076923073</v>
      </c>
      <c r="F39">
        <v>618.625</v>
      </c>
      <c r="G39">
        <v>494.6484375</v>
      </c>
      <c r="H39">
        <f t="shared" si="14"/>
        <v>0.77328125000000003</v>
      </c>
      <c r="I39">
        <f t="shared" si="15"/>
        <v>0.41220703125000002</v>
      </c>
      <c r="J39">
        <v>10</v>
      </c>
      <c r="K39">
        <f t="shared" si="16"/>
        <v>7.3076923076923075</v>
      </c>
      <c r="L39" t="str">
        <f t="shared" si="17"/>
        <v>[0.77328125 * imageHeight, 0.41220703125* imageWidth]</v>
      </c>
      <c r="M39" t="str">
        <f t="shared" si="18"/>
        <v>[(0.77328125 * imageHeight) + 10, (0.41220703125* imageWidth) + 7.30769230769231]</v>
      </c>
      <c r="N39" t="str">
        <f t="shared" si="19"/>
        <v>[[0.77328125 * imageHeight, 0.41220703125* imageWidth], [(0.77328125 * imageHeight) + 10, (0.41220703125* imageWidth) + 7.30769230769231]]</v>
      </c>
    </row>
    <row r="40" spans="1:14" x14ac:dyDescent="0.2">
      <c r="A40" t="s">
        <v>178</v>
      </c>
      <c r="B40" t="s">
        <v>153</v>
      </c>
      <c r="C40">
        <v>65</v>
      </c>
      <c r="D40">
        <v>55</v>
      </c>
      <c r="E40">
        <f t="shared" si="9"/>
        <v>1.1818181818181819</v>
      </c>
      <c r="F40">
        <v>563</v>
      </c>
      <c r="G40">
        <v>446.546875</v>
      </c>
      <c r="H40">
        <f t="shared" si="14"/>
        <v>0.70374999999999999</v>
      </c>
      <c r="I40">
        <f t="shared" si="15"/>
        <v>0.37212239583333334</v>
      </c>
      <c r="J40">
        <v>15</v>
      </c>
      <c r="K40">
        <f t="shared" si="16"/>
        <v>17.727272727272727</v>
      </c>
      <c r="L40" t="str">
        <f t="shared" si="17"/>
        <v>[0.70375 * imageHeight, 0.372122395833333* imageWidth]</v>
      </c>
      <c r="M40" t="str">
        <f t="shared" si="18"/>
        <v>[(0.70375 * imageHeight) + 15, (0.372122395833333* imageWidth) + 17.7272727272727]</v>
      </c>
      <c r="N40" t="str">
        <f t="shared" si="19"/>
        <v>[[0.70375 * imageHeight, 0.372122395833333* imageWidth], [(0.70375 * imageHeight) + 15, (0.372122395833333* imageWidth) + 17.7272727272727]]</v>
      </c>
    </row>
    <row r="41" spans="1:14" x14ac:dyDescent="0.2">
      <c r="A41" t="s">
        <v>179</v>
      </c>
      <c r="B41" t="s">
        <v>141</v>
      </c>
      <c r="C41">
        <v>50</v>
      </c>
      <c r="D41">
        <v>36</v>
      </c>
      <c r="E41">
        <f t="shared" si="9"/>
        <v>1.3888888888888888</v>
      </c>
      <c r="F41">
        <v>465</v>
      </c>
      <c r="G41">
        <v>511.046875</v>
      </c>
      <c r="H41">
        <f t="shared" si="14"/>
        <v>0.58125000000000004</v>
      </c>
      <c r="I41">
        <f t="shared" si="15"/>
        <v>0.42587239583333331</v>
      </c>
      <c r="J41">
        <v>15</v>
      </c>
      <c r="K41">
        <f t="shared" si="16"/>
        <v>20.833333333333332</v>
      </c>
      <c r="L41" t="str">
        <f t="shared" si="17"/>
        <v>[0.58125 * imageHeight, 0.425872395833333* imageWidth]</v>
      </c>
      <c r="M41" t="str">
        <f t="shared" si="18"/>
        <v>[(0.58125 * imageHeight) + 15, (0.425872395833333* imageWidth) + 20.8333333333333]</v>
      </c>
      <c r="N41" t="str">
        <f t="shared" si="19"/>
        <v>[[0.58125 * imageHeight, 0.425872395833333* imageWidth], [(0.58125 * imageHeight) + 15, (0.425872395833333* imageWidth) + 20.8333333333333]]</v>
      </c>
    </row>
    <row r="42" spans="1:14" x14ac:dyDescent="0.2">
      <c r="A42" t="s">
        <v>180</v>
      </c>
      <c r="B42" t="s">
        <v>181</v>
      </c>
      <c r="C42">
        <v>44</v>
      </c>
      <c r="D42">
        <v>36</v>
      </c>
      <c r="E42">
        <f t="shared" si="9"/>
        <v>1.2222222222222223</v>
      </c>
      <c r="F42">
        <v>478.5</v>
      </c>
      <c r="G42">
        <v>132.09375</v>
      </c>
      <c r="H42">
        <f t="shared" si="14"/>
        <v>0.59812500000000002</v>
      </c>
      <c r="I42">
        <f t="shared" si="15"/>
        <v>0.110078125</v>
      </c>
      <c r="J42">
        <v>10</v>
      </c>
      <c r="K42">
        <f t="shared" si="16"/>
        <v>12.222222222222223</v>
      </c>
      <c r="L42" t="str">
        <f t="shared" si="17"/>
        <v>[0.598125 * imageHeight, 0.110078125* imageWidth]</v>
      </c>
      <c r="M42" t="str">
        <f t="shared" si="18"/>
        <v>[(0.598125 * imageHeight) + 10, (0.110078125* imageWidth) + 12.2222222222222]</v>
      </c>
      <c r="N42" t="str">
        <f t="shared" si="19"/>
        <v>[[0.598125 * imageHeight, 0.110078125* imageWidth], [(0.598125 * imageHeight) + 10, (0.110078125* imageWidth) + 12.2222222222222]]</v>
      </c>
    </row>
    <row r="43" spans="1:14" x14ac:dyDescent="0.2">
      <c r="A43" t="s">
        <v>182</v>
      </c>
      <c r="B43" t="s">
        <v>183</v>
      </c>
      <c r="C43">
        <v>23</v>
      </c>
      <c r="D43">
        <v>39</v>
      </c>
      <c r="E43">
        <f t="shared" si="9"/>
        <v>0.58974358974358976</v>
      </c>
      <c r="F43">
        <v>306.25</v>
      </c>
      <c r="G43">
        <v>170.546875</v>
      </c>
      <c r="H43">
        <f t="shared" si="14"/>
        <v>0.3828125</v>
      </c>
      <c r="I43">
        <f t="shared" si="15"/>
        <v>0.14212239583333333</v>
      </c>
      <c r="J43">
        <v>12</v>
      </c>
      <c r="K43">
        <f t="shared" si="16"/>
        <v>7.0769230769230766</v>
      </c>
      <c r="L43" t="str">
        <f t="shared" si="17"/>
        <v>[0.3828125 * imageHeight, 0.142122395833333* imageWidth]</v>
      </c>
      <c r="M43" t="str">
        <f t="shared" si="18"/>
        <v>[(0.3828125 * imageHeight) + 12, (0.142122395833333* imageWidth) + 7.07692307692308]</v>
      </c>
      <c r="N43" t="str">
        <f t="shared" si="19"/>
        <v>[[0.3828125 * imageHeight, 0.142122395833333* imageWidth], [(0.3828125 * imageHeight) + 12, (0.142122395833333* imageWidth) + 7.07692307692308]]</v>
      </c>
    </row>
    <row r="44" spans="1:14" x14ac:dyDescent="0.2">
      <c r="A44" t="s">
        <v>184</v>
      </c>
      <c r="B44" t="s">
        <v>183</v>
      </c>
      <c r="C44">
        <v>35</v>
      </c>
      <c r="D44">
        <v>38</v>
      </c>
      <c r="E44">
        <f t="shared" si="9"/>
        <v>0.92105263157894735</v>
      </c>
      <c r="F44">
        <v>310</v>
      </c>
      <c r="G44">
        <v>198.546875</v>
      </c>
      <c r="H44">
        <f t="shared" si="14"/>
        <v>0.38750000000000001</v>
      </c>
      <c r="I44">
        <f t="shared" si="15"/>
        <v>0.16545572916666668</v>
      </c>
      <c r="J44">
        <v>12</v>
      </c>
      <c r="K44">
        <f t="shared" si="16"/>
        <v>11.052631578947368</v>
      </c>
      <c r="L44" t="str">
        <f t="shared" si="17"/>
        <v>[0.3875 * imageHeight, 0.165455729166667* imageWidth]</v>
      </c>
      <c r="M44" t="str">
        <f t="shared" si="18"/>
        <v>[(0.3875 * imageHeight) + 12, (0.165455729166667* imageWidth) + 11.0526315789474]</v>
      </c>
      <c r="N44" t="str">
        <f t="shared" si="19"/>
        <v>[[0.3875 * imageHeight, 0.165455729166667* imageWidth], [(0.3875 * imageHeight) + 12, (0.165455729166667* imageWidth) + 11.0526315789474]]</v>
      </c>
    </row>
    <row r="45" spans="1:14" x14ac:dyDescent="0.2">
      <c r="A45" t="s">
        <v>185</v>
      </c>
      <c r="B45" t="s">
        <v>142</v>
      </c>
      <c r="C45">
        <v>58</v>
      </c>
      <c r="D45">
        <v>42</v>
      </c>
      <c r="E45">
        <f t="shared" si="9"/>
        <v>1.3809523809523809</v>
      </c>
      <c r="F45">
        <v>359.75</v>
      </c>
      <c r="G45">
        <v>221.796875</v>
      </c>
      <c r="H45">
        <f t="shared" si="14"/>
        <v>0.44968750000000002</v>
      </c>
      <c r="I45">
        <f t="shared" si="15"/>
        <v>0.18483072916666668</v>
      </c>
      <c r="J45">
        <v>12</v>
      </c>
      <c r="K45">
        <f t="shared" si="16"/>
        <v>16.571428571428569</v>
      </c>
      <c r="L45" t="str">
        <f t="shared" si="17"/>
        <v>[0.4496875 * imageHeight, 0.184830729166667* imageWidth]</v>
      </c>
      <c r="M45" t="str">
        <f t="shared" si="18"/>
        <v>[(0.4496875 * imageHeight) + 12, (0.184830729166667* imageWidth) + 16.5714285714286]</v>
      </c>
      <c r="N45" t="str">
        <f t="shared" si="19"/>
        <v>[[0.4496875 * imageHeight, 0.184830729166667* imageWidth], [(0.4496875 * imageHeight) + 12, (0.184830729166667* imageWidth) + 16.5714285714286]]</v>
      </c>
    </row>
    <row r="46" spans="1:14" x14ac:dyDescent="0.2">
      <c r="A46" t="s">
        <v>186</v>
      </c>
      <c r="B46" t="s">
        <v>142</v>
      </c>
      <c r="C46">
        <v>52</v>
      </c>
      <c r="D46">
        <v>44</v>
      </c>
      <c r="E46">
        <f t="shared" si="9"/>
        <v>1.1818181818181819</v>
      </c>
      <c r="F46">
        <v>345.75</v>
      </c>
      <c r="G46">
        <v>246.796875</v>
      </c>
      <c r="H46">
        <f t="shared" si="14"/>
        <v>0.4321875</v>
      </c>
      <c r="I46">
        <f t="shared" si="15"/>
        <v>0.20566406249999999</v>
      </c>
      <c r="J46">
        <v>12</v>
      </c>
      <c r="K46">
        <f t="shared" si="16"/>
        <v>14.181818181818183</v>
      </c>
      <c r="L46" t="str">
        <f t="shared" si="17"/>
        <v>[0.4321875 * imageHeight, 0.2056640625* imageWidth]</v>
      </c>
      <c r="M46" t="str">
        <f t="shared" si="18"/>
        <v>[(0.4321875 * imageHeight) + 12, (0.2056640625* imageWidth) + 14.1818181818182]</v>
      </c>
      <c r="N46" t="str">
        <f t="shared" si="19"/>
        <v>[[0.4321875 * imageHeight, 0.2056640625* imageWidth], [(0.4321875 * imageHeight) + 12, (0.2056640625* imageWidth) + 14.1818181818182]]</v>
      </c>
    </row>
    <row r="47" spans="1:14" x14ac:dyDescent="0.2">
      <c r="A47" t="s">
        <v>211</v>
      </c>
      <c r="B47" t="s">
        <v>188</v>
      </c>
      <c r="C47">
        <v>88</v>
      </c>
      <c r="D47">
        <v>79</v>
      </c>
      <c r="E47">
        <f t="shared" si="9"/>
        <v>1.1139240506329113</v>
      </c>
      <c r="F47">
        <v>90</v>
      </c>
      <c r="G47">
        <v>101.046875</v>
      </c>
      <c r="H47">
        <f t="shared" ref="H47" si="20">F47/800</f>
        <v>0.1125</v>
      </c>
      <c r="I47">
        <f t="shared" ref="I47" si="21">G47/1200</f>
        <v>8.4205729166666674E-2</v>
      </c>
      <c r="J47">
        <v>25</v>
      </c>
      <c r="K47">
        <f t="shared" si="16"/>
        <v>27.848101265822784</v>
      </c>
      <c r="L47" t="str">
        <f t="shared" si="17"/>
        <v>[0.1125 * imageHeight, 0.0842057291666667* imageWidth]</v>
      </c>
      <c r="M47" t="str">
        <f t="shared" si="18"/>
        <v>[(0.1125 * imageHeight) + 25, (0.0842057291666667* imageWidth) + 27.8481012658228]</v>
      </c>
      <c r="N47" t="str">
        <f t="shared" si="19"/>
        <v>[[0.1125 * imageHeight, 0.0842057291666667* imageWidth], [(0.1125 * imageHeight) + 25, (0.0842057291666667* imageWidth) + 27.8481012658228]]</v>
      </c>
    </row>
    <row r="48" spans="1:14" x14ac:dyDescent="0.2">
      <c r="A48" t="s">
        <v>187</v>
      </c>
      <c r="B48" t="s">
        <v>188</v>
      </c>
      <c r="C48">
        <v>42</v>
      </c>
      <c r="D48">
        <v>46</v>
      </c>
      <c r="E48">
        <f t="shared" si="9"/>
        <v>0.91304347826086951</v>
      </c>
      <c r="F48">
        <v>53</v>
      </c>
      <c r="G48">
        <v>71.09375</v>
      </c>
      <c r="H48">
        <f t="shared" si="14"/>
        <v>6.6250000000000003E-2</v>
      </c>
      <c r="I48">
        <f t="shared" si="15"/>
        <v>5.9244791666666664E-2</v>
      </c>
      <c r="J48">
        <v>15</v>
      </c>
      <c r="K48">
        <f t="shared" si="16"/>
        <v>13.695652173913043</v>
      </c>
      <c r="L48" t="str">
        <f t="shared" si="17"/>
        <v>[0.06625 * imageHeight, 0.0592447916666667* imageWidth]</v>
      </c>
      <c r="M48" t="str">
        <f t="shared" si="18"/>
        <v>[(0.06625 * imageHeight) + 15, (0.0592447916666667* imageWidth) + 13.695652173913]</v>
      </c>
      <c r="N48" t="str">
        <f t="shared" si="19"/>
        <v>[[0.06625 * imageHeight, 0.0592447916666667* imageWidth], [(0.06625 * imageHeight) + 15, (0.0592447916666667* imageWidth) + 13.695652173913]]</v>
      </c>
    </row>
    <row r="49" spans="1:14" x14ac:dyDescent="0.2">
      <c r="A49" t="s">
        <v>189</v>
      </c>
      <c r="B49" t="s">
        <v>190</v>
      </c>
      <c r="C49">
        <v>52</v>
      </c>
      <c r="D49">
        <v>44</v>
      </c>
      <c r="E49">
        <f t="shared" si="9"/>
        <v>1.1818181818181819</v>
      </c>
      <c r="F49">
        <v>334.25</v>
      </c>
      <c r="G49">
        <v>1094.046875</v>
      </c>
      <c r="H49">
        <f t="shared" si="14"/>
        <v>0.41781249999999998</v>
      </c>
      <c r="I49">
        <f t="shared" si="15"/>
        <v>0.9117057291666667</v>
      </c>
      <c r="J49">
        <v>15</v>
      </c>
      <c r="K49">
        <f t="shared" si="16"/>
        <v>17.727272727272727</v>
      </c>
      <c r="L49" t="str">
        <f t="shared" si="17"/>
        <v>[0.4178125 * imageHeight, 0.911705729166667* imageWidth]</v>
      </c>
      <c r="M49" t="str">
        <f t="shared" si="18"/>
        <v>[(0.4178125 * imageHeight) + 15, (0.911705729166667* imageWidth) + 17.7272727272727]</v>
      </c>
      <c r="N49" t="str">
        <f t="shared" si="19"/>
        <v>[[0.4178125 * imageHeight, 0.911705729166667* imageWidth], [(0.4178125 * imageHeight) + 15, (0.911705729166667* imageWidth) + 17.7272727272727]]</v>
      </c>
    </row>
    <row r="50" spans="1:14" x14ac:dyDescent="0.2">
      <c r="A50" t="s">
        <v>191</v>
      </c>
      <c r="B50" t="s">
        <v>192</v>
      </c>
      <c r="C50">
        <v>67</v>
      </c>
      <c r="D50">
        <v>49</v>
      </c>
      <c r="E50">
        <f t="shared" si="9"/>
        <v>1.3673469387755102</v>
      </c>
      <c r="F50">
        <v>635</v>
      </c>
      <c r="G50">
        <v>952.796875</v>
      </c>
      <c r="H50">
        <f t="shared" si="14"/>
        <v>0.79374999999999996</v>
      </c>
      <c r="I50">
        <f t="shared" si="15"/>
        <v>0.79399739583333329</v>
      </c>
      <c r="J50">
        <v>15</v>
      </c>
      <c r="K50">
        <f t="shared" si="16"/>
        <v>20.510204081632651</v>
      </c>
      <c r="L50" t="str">
        <f t="shared" si="17"/>
        <v>[0.79375 * imageHeight, 0.793997395833333* imageWidth]</v>
      </c>
      <c r="M50" t="str">
        <f t="shared" si="18"/>
        <v>[(0.79375 * imageHeight) + 15, (0.793997395833333* imageWidth) + 20.5102040816327]</v>
      </c>
      <c r="N50" t="str">
        <f t="shared" si="19"/>
        <v>[[0.79375 * imageHeight, 0.793997395833333* imageWidth], [(0.79375 * imageHeight) + 15, (0.793997395833333* imageWidth) + 20.5102040816327]]</v>
      </c>
    </row>
    <row r="51" spans="1:14" x14ac:dyDescent="0.2">
      <c r="A51" t="s">
        <v>193</v>
      </c>
      <c r="B51" t="s">
        <v>194</v>
      </c>
      <c r="C51">
        <v>48</v>
      </c>
      <c r="D51">
        <v>46</v>
      </c>
      <c r="E51">
        <f t="shared" si="9"/>
        <v>1.0434782608695652</v>
      </c>
      <c r="F51">
        <v>580</v>
      </c>
      <c r="G51">
        <v>1075.296875</v>
      </c>
      <c r="H51">
        <f t="shared" si="14"/>
        <v>0.72499999999999998</v>
      </c>
      <c r="I51">
        <f t="shared" si="15"/>
        <v>0.8960807291666667</v>
      </c>
      <c r="J51">
        <v>15</v>
      </c>
      <c r="K51">
        <f t="shared" si="16"/>
        <v>15.652173913043478</v>
      </c>
      <c r="L51" t="str">
        <f t="shared" si="17"/>
        <v>[0.725 * imageHeight, 0.896080729166667* imageWidth]</v>
      </c>
      <c r="M51" t="str">
        <f t="shared" si="18"/>
        <v>[(0.725 * imageHeight) + 15, (0.896080729166667* imageWidth) + 15.6521739130435]</v>
      </c>
      <c r="N51" t="str">
        <f t="shared" si="19"/>
        <v>[[0.725 * imageHeight, 0.896080729166667* imageWidth], [(0.725 * imageHeight) + 15, (0.896080729166667* imageWidth) + 15.6521739130435]]</v>
      </c>
    </row>
    <row r="52" spans="1:14" x14ac:dyDescent="0.2">
      <c r="A52" t="s">
        <v>195</v>
      </c>
      <c r="B52" t="s">
        <v>196</v>
      </c>
      <c r="C52">
        <v>45</v>
      </c>
      <c r="D52">
        <v>42</v>
      </c>
      <c r="E52">
        <f t="shared" si="9"/>
        <v>1.0714285714285714</v>
      </c>
      <c r="F52">
        <v>473</v>
      </c>
      <c r="G52">
        <v>940.09375</v>
      </c>
      <c r="H52">
        <f t="shared" si="14"/>
        <v>0.59125000000000005</v>
      </c>
      <c r="I52">
        <f t="shared" si="15"/>
        <v>0.78341145833333337</v>
      </c>
      <c r="J52">
        <v>15</v>
      </c>
      <c r="K52">
        <f t="shared" si="16"/>
        <v>16.071428571428569</v>
      </c>
      <c r="L52" t="str">
        <f t="shared" si="17"/>
        <v>[0.59125 * imageHeight, 0.783411458333333* imageWidth]</v>
      </c>
      <c r="M52" t="str">
        <f t="shared" si="18"/>
        <v>[(0.59125 * imageHeight) + 15, (0.783411458333333* imageWidth) + 16.0714285714286]</v>
      </c>
      <c r="N52" t="str">
        <f t="shared" si="19"/>
        <v>[[0.59125 * imageHeight, 0.783411458333333* imageWidth], [(0.59125 * imageHeight) + 15, (0.783411458333333* imageWidth) + 16.0714285714286]]</v>
      </c>
    </row>
    <row r="53" spans="1:14" x14ac:dyDescent="0.2">
      <c r="A53" t="s">
        <v>197</v>
      </c>
      <c r="B53" t="s">
        <v>198</v>
      </c>
      <c r="C53">
        <v>59</v>
      </c>
      <c r="D53">
        <v>51</v>
      </c>
      <c r="E53">
        <f t="shared" si="9"/>
        <v>1.1568627450980393</v>
      </c>
      <c r="F53">
        <v>399</v>
      </c>
      <c r="G53">
        <v>903.59375</v>
      </c>
      <c r="H53">
        <f t="shared" si="14"/>
        <v>0.49875000000000003</v>
      </c>
      <c r="I53">
        <f t="shared" si="15"/>
        <v>0.75299479166666672</v>
      </c>
      <c r="J53">
        <v>15</v>
      </c>
      <c r="K53">
        <f t="shared" si="16"/>
        <v>17.352941176470591</v>
      </c>
      <c r="L53" t="str">
        <f t="shared" si="17"/>
        <v>[0.49875 * imageHeight, 0.752994791666667* imageWidth]</v>
      </c>
      <c r="M53" t="str">
        <f t="shared" si="18"/>
        <v>[(0.49875 * imageHeight) + 15, (0.752994791666667* imageWidth) + 17.3529411764706]</v>
      </c>
      <c r="N53" t="str">
        <f t="shared" si="19"/>
        <v>[[0.49875 * imageHeight, 0.752994791666667* imageWidth], [(0.49875 * imageHeight) + 15, (0.752994791666667* imageWidth) + 17.3529411764706]]</v>
      </c>
    </row>
    <row r="54" spans="1:14" x14ac:dyDescent="0.2">
      <c r="A54" t="s">
        <v>199</v>
      </c>
      <c r="B54" t="s">
        <v>200</v>
      </c>
      <c r="C54">
        <v>66</v>
      </c>
      <c r="D54">
        <v>53</v>
      </c>
      <c r="E54">
        <f t="shared" si="9"/>
        <v>1.2452830188679245</v>
      </c>
      <c r="F54">
        <v>459.5</v>
      </c>
      <c r="G54">
        <v>863.09375</v>
      </c>
      <c r="H54">
        <f t="shared" si="14"/>
        <v>0.57437499999999997</v>
      </c>
      <c r="I54">
        <f t="shared" si="15"/>
        <v>0.71924479166666666</v>
      </c>
      <c r="J54">
        <v>15</v>
      </c>
      <c r="K54">
        <f t="shared" si="16"/>
        <v>18.679245283018869</v>
      </c>
      <c r="L54" t="str">
        <f t="shared" si="17"/>
        <v>[0.574375 * imageHeight, 0.719244791666667* imageWidth]</v>
      </c>
      <c r="M54" t="str">
        <f t="shared" si="18"/>
        <v>[(0.574375 * imageHeight) + 15, (0.719244791666667* imageWidth) + 18.6792452830189]</v>
      </c>
      <c r="N54" t="str">
        <f t="shared" si="19"/>
        <v>[[0.574375 * imageHeight, 0.719244791666667* imageWidth], [(0.574375 * imageHeight) + 15, (0.719244791666667* imageWidth) + 18.6792452830189]]</v>
      </c>
    </row>
    <row r="55" spans="1:14" x14ac:dyDescent="0.2">
      <c r="A55" t="s">
        <v>201</v>
      </c>
      <c r="B55" t="s">
        <v>202</v>
      </c>
      <c r="C55">
        <v>30</v>
      </c>
      <c r="D55">
        <v>37</v>
      </c>
      <c r="E55">
        <f t="shared" si="9"/>
        <v>0.81081081081081086</v>
      </c>
      <c r="F55">
        <v>431.5</v>
      </c>
      <c r="G55">
        <v>1000.59375</v>
      </c>
      <c r="H55">
        <f t="shared" si="14"/>
        <v>0.53937500000000005</v>
      </c>
      <c r="I55">
        <f t="shared" si="15"/>
        <v>0.83382812500000003</v>
      </c>
      <c r="J55">
        <v>15</v>
      </c>
      <c r="K55">
        <f t="shared" si="16"/>
        <v>12.162162162162163</v>
      </c>
      <c r="L55" t="str">
        <f t="shared" si="17"/>
        <v>[0.539375 * imageHeight, 0.833828125* imageWidth]</v>
      </c>
      <c r="M55" t="str">
        <f t="shared" si="18"/>
        <v>[(0.539375 * imageHeight) + 15, (0.833828125* imageWidth) + 12.1621621621622]</v>
      </c>
      <c r="N55" t="str">
        <f t="shared" si="19"/>
        <v>[[0.539375 * imageHeight, 0.833828125* imageWidth], [(0.539375 * imageHeight) + 15, (0.833828125* imageWidth) + 12.1621621621622]]</v>
      </c>
    </row>
    <row r="56" spans="1:14" x14ac:dyDescent="0.2">
      <c r="A56" t="s">
        <v>203</v>
      </c>
      <c r="B56" t="s">
        <v>204</v>
      </c>
      <c r="C56">
        <v>96</v>
      </c>
      <c r="D56">
        <v>76</v>
      </c>
      <c r="E56">
        <f t="shared" si="9"/>
        <v>1.263157894736842</v>
      </c>
      <c r="F56">
        <v>273</v>
      </c>
      <c r="G56">
        <v>578.09375</v>
      </c>
      <c r="H56">
        <f t="shared" si="14"/>
        <v>0.34125</v>
      </c>
      <c r="I56">
        <f t="shared" si="15"/>
        <v>0.48174479166666667</v>
      </c>
      <c r="J56">
        <v>15</v>
      </c>
      <c r="K56">
        <f t="shared" si="16"/>
        <v>18.94736842105263</v>
      </c>
      <c r="L56" t="str">
        <f t="shared" si="17"/>
        <v>[0.34125 * imageHeight, 0.481744791666667* imageWidth]</v>
      </c>
      <c r="M56" t="str">
        <f t="shared" si="18"/>
        <v>[(0.34125 * imageHeight) + 15, (0.481744791666667* imageWidth) + 18.9473684210526]</v>
      </c>
      <c r="N56" t="str">
        <f t="shared" si="19"/>
        <v>[[0.34125 * imageHeight, 0.481744791666667* imageWidth], [(0.34125 * imageHeight) + 15, (0.481744791666667* imageWidth) + 18.9473684210526]]</v>
      </c>
    </row>
    <row r="57" spans="1:14" x14ac:dyDescent="0.2">
      <c r="A57" t="s">
        <v>205</v>
      </c>
      <c r="B57" t="s">
        <v>207</v>
      </c>
      <c r="C57">
        <v>60</v>
      </c>
      <c r="D57">
        <v>71</v>
      </c>
      <c r="E57">
        <f t="shared" si="9"/>
        <v>0.84507042253521125</v>
      </c>
      <c r="F57">
        <v>232</v>
      </c>
      <c r="G57">
        <v>615.1875</v>
      </c>
      <c r="H57">
        <f t="shared" si="14"/>
        <v>0.28999999999999998</v>
      </c>
      <c r="I57">
        <f t="shared" si="15"/>
        <v>0.51265625000000004</v>
      </c>
      <c r="J57">
        <v>15</v>
      </c>
      <c r="K57">
        <f t="shared" si="16"/>
        <v>12.676056338028168</v>
      </c>
      <c r="L57" t="str">
        <f t="shared" si="17"/>
        <v>[0.29 * imageHeight, 0.51265625* imageWidth]</v>
      </c>
      <c r="M57" t="str">
        <f t="shared" si="18"/>
        <v>[(0.29 * imageHeight) + 15, (0.51265625* imageWidth) + 12.6760563380282]</v>
      </c>
      <c r="N57" t="str">
        <f t="shared" si="19"/>
        <v>[[0.29 * imageHeight, 0.51265625* imageWidth], [(0.29 * imageHeight) + 15, (0.51265625* imageWidth) + 12.6760563380282]]</v>
      </c>
    </row>
    <row r="58" spans="1:14" x14ac:dyDescent="0.2">
      <c r="A58" t="s">
        <v>206</v>
      </c>
      <c r="B58" t="s">
        <v>208</v>
      </c>
      <c r="C58">
        <v>60</v>
      </c>
      <c r="D58">
        <v>71</v>
      </c>
      <c r="E58">
        <f t="shared" si="9"/>
        <v>0.84507042253521125</v>
      </c>
      <c r="F58">
        <v>394</v>
      </c>
      <c r="G58">
        <v>766.1875</v>
      </c>
      <c r="H58">
        <f t="shared" si="14"/>
        <v>0.49249999999999999</v>
      </c>
      <c r="I58">
        <f t="shared" si="15"/>
        <v>0.63848958333333339</v>
      </c>
      <c r="J58">
        <v>15</v>
      </c>
      <c r="K58">
        <f t="shared" si="16"/>
        <v>12.676056338028168</v>
      </c>
      <c r="L58" t="str">
        <f t="shared" si="17"/>
        <v>[0.4925 * imageHeight, 0.638489583333333* imageWidth]</v>
      </c>
      <c r="M58" t="str">
        <f t="shared" si="18"/>
        <v>[(0.4925 * imageHeight) + 15, (0.638489583333333* imageWidth) + 12.6760563380282]</v>
      </c>
      <c r="N58" t="str">
        <f t="shared" si="19"/>
        <v>[[0.4925 * imageHeight, 0.638489583333333* imageWidth], [(0.4925 * imageHeight) + 15, (0.638489583333333* imageWidth) + 12.6760563380282]]</v>
      </c>
    </row>
    <row r="59" spans="1:14" x14ac:dyDescent="0.2">
      <c r="A59" t="s">
        <v>209</v>
      </c>
      <c r="B59" t="s">
        <v>210</v>
      </c>
      <c r="C59">
        <v>84</v>
      </c>
      <c r="D59">
        <v>84</v>
      </c>
      <c r="E59">
        <f t="shared" si="9"/>
        <v>1</v>
      </c>
      <c r="F59">
        <v>171</v>
      </c>
      <c r="G59">
        <v>913.1875</v>
      </c>
      <c r="H59">
        <f t="shared" si="14"/>
        <v>0.21375</v>
      </c>
      <c r="I59">
        <f t="shared" si="15"/>
        <v>0.76098958333333333</v>
      </c>
      <c r="J59">
        <v>15</v>
      </c>
      <c r="K59">
        <f t="shared" si="16"/>
        <v>15</v>
      </c>
      <c r="L59" t="str">
        <f t="shared" si="17"/>
        <v>[0.21375 * imageHeight, 0.760989583333333* imageWidth]</v>
      </c>
      <c r="M59" t="str">
        <f t="shared" si="18"/>
        <v>[(0.21375 * imageHeight) + 15, (0.760989583333333* imageWidth) + 15]</v>
      </c>
      <c r="N59" t="str">
        <f t="shared" si="19"/>
        <v>[[0.21375 * imageHeight, 0.760989583333333* imageWidth], [(0.21375 * imageHeight) + 15, (0.760989583333333* imageWidth) + 15]]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8A8BD-5C24-554E-9F3D-BAA31A1471D1}">
  <dimension ref="A1:O59"/>
  <sheetViews>
    <sheetView tabSelected="1" workbookViewId="0">
      <selection activeCell="O13" sqref="O13"/>
    </sheetView>
  </sheetViews>
  <sheetFormatPr baseColWidth="10" defaultRowHeight="16" x14ac:dyDescent="0.2"/>
  <cols>
    <col min="1" max="2" width="10.6640625" customWidth="1"/>
    <col min="3" max="5" width="10.6640625" hidden="1" customWidth="1"/>
    <col min="6" max="6" width="10.6640625" customWidth="1"/>
    <col min="7" max="14" width="10.6640625" hidden="1" customWidth="1"/>
    <col min="15" max="15" width="10.6640625" customWidth="1"/>
  </cols>
  <sheetData>
    <row r="1" spans="1:15" x14ac:dyDescent="0.2">
      <c r="A1" t="s">
        <v>102</v>
      </c>
      <c r="B1" t="s">
        <v>106</v>
      </c>
      <c r="C1" t="s">
        <v>116</v>
      </c>
      <c r="D1" t="s">
        <v>117</v>
      </c>
      <c r="E1" t="s">
        <v>118</v>
      </c>
      <c r="F1" t="s">
        <v>212</v>
      </c>
      <c r="G1" t="s">
        <v>119</v>
      </c>
      <c r="H1" t="s">
        <v>120</v>
      </c>
      <c r="I1" t="s">
        <v>107</v>
      </c>
      <c r="J1" t="s">
        <v>108</v>
      </c>
      <c r="K1" t="s">
        <v>114</v>
      </c>
      <c r="L1" t="s">
        <v>115</v>
      </c>
      <c r="M1" t="s">
        <v>167</v>
      </c>
      <c r="N1" t="s">
        <v>168</v>
      </c>
      <c r="O1" t="s">
        <v>166</v>
      </c>
    </row>
    <row r="2" spans="1:15" x14ac:dyDescent="0.2">
      <c r="A2" t="s">
        <v>103</v>
      </c>
      <c r="B2" t="s">
        <v>109</v>
      </c>
      <c r="C2">
        <v>44</v>
      </c>
      <c r="D2">
        <v>63</v>
      </c>
      <c r="E2">
        <f t="shared" ref="E2:E8" si="0">C2/D2</f>
        <v>0.69841269841269837</v>
      </c>
      <c r="F2">
        <v>350</v>
      </c>
      <c r="G2">
        <f>ROUND(SQRT(F2/E2), 5)</f>
        <v>22.38608</v>
      </c>
      <c r="H2">
        <f>ROUND(G2*E2, 5)</f>
        <v>15.63472</v>
      </c>
      <c r="I2">
        <v>231.49480207482799</v>
      </c>
      <c r="J2">
        <v>205.68055343627901</v>
      </c>
      <c r="K2">
        <f>ROUND(I2/800, 5)</f>
        <v>0.28937000000000002</v>
      </c>
      <c r="L2">
        <f>ROUND(J2/1200, 5)</f>
        <v>0.1714</v>
      </c>
      <c r="M2" t="str">
        <f t="shared" ref="M2:M33" si="1">_xlfn.CONCAT("[", K2, " * imageHeight", ", ", L2, "* imageWidth", "]")</f>
        <v>[0.28937 * imageHeight, 0.1714* imageWidth]</v>
      </c>
      <c r="N2" t="str">
        <f t="shared" ref="N2:N33" si="2">_xlfn.CONCAT("[(", K2, " * imageHeight)", " + ",  G2, ", (", L2, "* imageWidth)", " + ", H2, "]" )</f>
        <v>[(0.28937 * imageHeight) + 22.38608, (0.1714* imageWidth) + 15.63472]</v>
      </c>
      <c r="O2" t="str">
        <f>_xlfn.CONCAT("[", M2, ", ", N2, "]")</f>
        <v>[[0.28937 * imageHeight, 0.1714* imageWidth], [(0.28937 * imageHeight) + 22.38608, (0.1714* imageWidth) + 15.63472]]</v>
      </c>
    </row>
    <row r="3" spans="1:15" x14ac:dyDescent="0.2">
      <c r="A3" t="s">
        <v>104</v>
      </c>
      <c r="B3" t="s">
        <v>109</v>
      </c>
      <c r="C3">
        <v>34</v>
      </c>
      <c r="D3">
        <v>46</v>
      </c>
      <c r="E3">
        <f t="shared" si="0"/>
        <v>0.73913043478260865</v>
      </c>
      <c r="F3">
        <v>350</v>
      </c>
      <c r="G3">
        <f>ROUND(SQRT(F3/E3), 5)</f>
        <v>21.760729999999999</v>
      </c>
      <c r="H3">
        <f>G3*E3</f>
        <v>16.084017826086953</v>
      </c>
      <c r="I3">
        <v>199.744804497161</v>
      </c>
      <c r="J3">
        <v>226.18055343627901</v>
      </c>
      <c r="K3">
        <f t="shared" ref="K3:K59" si="3">ROUND(I3/800, 5)</f>
        <v>0.24968000000000001</v>
      </c>
      <c r="L3">
        <f t="shared" ref="L3:L59" si="4">ROUND(J3/1200, 5)</f>
        <v>0.18848000000000001</v>
      </c>
      <c r="M3" t="str">
        <f t="shared" si="1"/>
        <v>[0.24968 * imageHeight, 0.18848* imageWidth]</v>
      </c>
      <c r="N3" t="str">
        <f t="shared" si="2"/>
        <v>[(0.24968 * imageHeight) + 21.76073, (0.18848* imageWidth) + 16.084017826087]</v>
      </c>
      <c r="O3" t="str">
        <f t="shared" ref="O3:O59" si="5">_xlfn.CONCAT("[", M3, ", ", N3, "]")</f>
        <v>[[0.24968 * imageHeight, 0.18848* imageWidth], [(0.24968 * imageHeight) + 21.76073, (0.18848* imageWidth) + 16.084017826087]]</v>
      </c>
    </row>
    <row r="4" spans="1:15" x14ac:dyDescent="0.2">
      <c r="A4" t="s">
        <v>105</v>
      </c>
      <c r="B4" t="s">
        <v>109</v>
      </c>
      <c r="C4">
        <v>44</v>
      </c>
      <c r="D4">
        <v>49</v>
      </c>
      <c r="E4">
        <f t="shared" si="0"/>
        <v>0.89795918367346939</v>
      </c>
      <c r="F4">
        <v>350</v>
      </c>
      <c r="G4">
        <f>ROUND(SQRT(F4/E4), 5)</f>
        <v>19.742660000000001</v>
      </c>
      <c r="H4">
        <f>G4*E4</f>
        <v>17.728102857142858</v>
      </c>
      <c r="I4">
        <v>227.744802360931</v>
      </c>
      <c r="J4">
        <v>256.43055343627901</v>
      </c>
      <c r="K4">
        <f t="shared" si="3"/>
        <v>0.28467999999999999</v>
      </c>
      <c r="L4">
        <f t="shared" si="4"/>
        <v>0.21368999999999999</v>
      </c>
      <c r="M4" t="str">
        <f t="shared" si="1"/>
        <v>[0.28468 * imageHeight, 0.21369* imageWidth]</v>
      </c>
      <c r="N4" t="str">
        <f t="shared" si="2"/>
        <v>[(0.28468 * imageHeight) + 19.74266, (0.21369* imageWidth) + 17.7281028571429]</v>
      </c>
      <c r="O4" t="str">
        <f t="shared" si="5"/>
        <v>[[0.28468 * imageHeight, 0.21369* imageWidth], [(0.28468 * imageHeight) + 19.74266, (0.21369* imageWidth) + 17.7281028571429]]</v>
      </c>
    </row>
    <row r="5" spans="1:15" x14ac:dyDescent="0.2">
      <c r="A5" t="s">
        <v>110</v>
      </c>
      <c r="B5" t="s">
        <v>36</v>
      </c>
      <c r="C5">
        <v>110</v>
      </c>
      <c r="D5">
        <v>97</v>
      </c>
      <c r="E5">
        <f t="shared" si="0"/>
        <v>1.134020618556701</v>
      </c>
      <c r="F5">
        <v>1000</v>
      </c>
      <c r="G5">
        <f>ROUND(SQRT(F5/E5), 5)</f>
        <v>29.695419999999999</v>
      </c>
      <c r="H5">
        <f>G5*E5</f>
        <v>33.675218556701026</v>
      </c>
      <c r="I5">
        <v>340</v>
      </c>
      <c r="J5">
        <v>882</v>
      </c>
      <c r="K5">
        <f t="shared" si="3"/>
        <v>0.42499999999999999</v>
      </c>
      <c r="L5">
        <f t="shared" si="4"/>
        <v>0.73499999999999999</v>
      </c>
      <c r="M5" t="str">
        <f t="shared" si="1"/>
        <v>[0.425 * imageHeight, 0.735* imageWidth]</v>
      </c>
      <c r="N5" t="str">
        <f t="shared" si="2"/>
        <v>[(0.425 * imageHeight) + 29.69542, (0.735* imageWidth) + 33.675218556701]</v>
      </c>
      <c r="O5" t="str">
        <f t="shared" si="5"/>
        <v>[[0.425 * imageHeight, 0.735* imageWidth], [(0.425 * imageHeight) + 29.69542, (0.735* imageWidth) + 33.675218556701]]</v>
      </c>
    </row>
    <row r="6" spans="1:15" x14ac:dyDescent="0.2">
      <c r="A6" t="s">
        <v>111</v>
      </c>
      <c r="B6" t="s">
        <v>113</v>
      </c>
      <c r="C6">
        <v>95</v>
      </c>
      <c r="D6">
        <v>84</v>
      </c>
      <c r="E6">
        <f t="shared" si="0"/>
        <v>1.1309523809523809</v>
      </c>
      <c r="F6">
        <v>600</v>
      </c>
      <c r="G6">
        <f>ROUND(SQRT(F6/E6), 5)</f>
        <v>23.033159999999999</v>
      </c>
      <c r="H6">
        <f>G6*E6</f>
        <v>26.049407142857142</v>
      </c>
      <c r="I6">
        <v>110.49479879418899</v>
      </c>
      <c r="J6">
        <v>507.68055343627901</v>
      </c>
      <c r="K6">
        <f t="shared" si="3"/>
        <v>0.13811999999999999</v>
      </c>
      <c r="L6">
        <f t="shared" si="4"/>
        <v>0.42307</v>
      </c>
      <c r="M6" t="str">
        <f t="shared" si="1"/>
        <v>[0.13812 * imageHeight, 0.42307* imageWidth]</v>
      </c>
      <c r="N6" t="str">
        <f t="shared" si="2"/>
        <v>[(0.13812 * imageHeight) + 23.03316, (0.42307* imageWidth) + 26.0494071428571]</v>
      </c>
      <c r="O6" t="str">
        <f t="shared" si="5"/>
        <v>[[0.13812 * imageHeight, 0.42307* imageWidth], [(0.13812 * imageHeight) + 23.03316, (0.42307* imageWidth) + 26.0494071428571]]</v>
      </c>
    </row>
    <row r="7" spans="1:15" x14ac:dyDescent="0.2">
      <c r="A7" t="s">
        <v>112</v>
      </c>
      <c r="B7" t="s">
        <v>113</v>
      </c>
      <c r="C7">
        <v>93</v>
      </c>
      <c r="D7">
        <v>65</v>
      </c>
      <c r="E7">
        <f t="shared" si="0"/>
        <v>1.4307692307692308</v>
      </c>
      <c r="F7">
        <v>600</v>
      </c>
      <c r="G7">
        <f>ROUND(SQRT(F7/E7), 5)</f>
        <v>20.478159999999999</v>
      </c>
      <c r="H7">
        <f>G7*E7</f>
        <v>29.29952123076923</v>
      </c>
      <c r="I7">
        <v>90</v>
      </c>
      <c r="J7">
        <v>570</v>
      </c>
      <c r="K7">
        <f t="shared" si="3"/>
        <v>0.1125</v>
      </c>
      <c r="L7">
        <f t="shared" si="4"/>
        <v>0.47499999999999998</v>
      </c>
      <c r="M7" t="str">
        <f t="shared" si="1"/>
        <v>[0.1125 * imageHeight, 0.475* imageWidth]</v>
      </c>
      <c r="N7" t="str">
        <f t="shared" si="2"/>
        <v>[(0.1125 * imageHeight) + 20.47816, (0.475* imageWidth) + 29.2995212307692]</v>
      </c>
      <c r="O7" t="str">
        <f t="shared" si="5"/>
        <v>[[0.1125 * imageHeight, 0.475* imageWidth], [(0.1125 * imageHeight) + 20.47816, (0.475* imageWidth) + 29.2995212307692]]</v>
      </c>
    </row>
    <row r="8" spans="1:15" x14ac:dyDescent="0.2">
      <c r="A8" t="s">
        <v>121</v>
      </c>
      <c r="B8" t="s">
        <v>127</v>
      </c>
      <c r="C8">
        <v>64</v>
      </c>
      <c r="D8">
        <v>45</v>
      </c>
      <c r="E8">
        <f t="shared" si="0"/>
        <v>1.4222222222222223</v>
      </c>
      <c r="F8">
        <v>350</v>
      </c>
      <c r="G8">
        <f>ROUND(SQRT(F8/E8), 5)</f>
        <v>15.687379999999999</v>
      </c>
      <c r="H8">
        <f>G8*E8</f>
        <v>22.310940444444444</v>
      </c>
      <c r="I8">
        <v>267.49739830990598</v>
      </c>
      <c r="J8">
        <v>85.618055343627901</v>
      </c>
      <c r="K8">
        <f t="shared" si="3"/>
        <v>0.33437</v>
      </c>
      <c r="L8">
        <f t="shared" si="4"/>
        <v>7.1349999999999997E-2</v>
      </c>
      <c r="M8" t="str">
        <f t="shared" si="1"/>
        <v>[0.33437 * imageHeight, 0.07135* imageWidth]</v>
      </c>
      <c r="N8" t="str">
        <f t="shared" si="2"/>
        <v>[(0.33437 * imageHeight) + 15.68738, (0.07135* imageWidth) + 22.3109404444444]</v>
      </c>
      <c r="O8" t="str">
        <f t="shared" si="5"/>
        <v>[[0.33437 * imageHeight, 0.07135* imageWidth], [(0.33437 * imageHeight) + 15.68738, (0.07135* imageWidth) + 22.3109404444444]]</v>
      </c>
    </row>
    <row r="9" spans="1:15" x14ac:dyDescent="0.2">
      <c r="A9" t="s">
        <v>122</v>
      </c>
      <c r="B9" t="s">
        <v>128</v>
      </c>
      <c r="C9">
        <v>64</v>
      </c>
      <c r="D9">
        <v>45</v>
      </c>
      <c r="E9">
        <f t="shared" ref="E9:E59" si="6">C9/D9</f>
        <v>1.4222222222222223</v>
      </c>
      <c r="F9">
        <v>350</v>
      </c>
      <c r="G9">
        <f>ROUND(SQRT(F9/E9), 5)</f>
        <v>15.687379999999999</v>
      </c>
      <c r="H9">
        <f>G9*E9</f>
        <v>22.310940444444444</v>
      </c>
      <c r="I9">
        <v>219.122402143676</v>
      </c>
      <c r="J9">
        <v>397.99305534362702</v>
      </c>
      <c r="K9">
        <f t="shared" si="3"/>
        <v>0.27389999999999998</v>
      </c>
      <c r="L9">
        <f t="shared" si="4"/>
        <v>0.33166000000000001</v>
      </c>
      <c r="M9" t="str">
        <f t="shared" si="1"/>
        <v>[0.2739 * imageHeight, 0.33166* imageWidth]</v>
      </c>
      <c r="N9" t="str">
        <f t="shared" si="2"/>
        <v>[(0.2739 * imageHeight) + 15.68738, (0.33166* imageWidth) + 22.3109404444444]</v>
      </c>
      <c r="O9" t="str">
        <f t="shared" si="5"/>
        <v>[[0.2739 * imageHeight, 0.33166* imageWidth], [(0.2739 * imageHeight) + 15.68738, (0.33166* imageWidth) + 22.3109404444444]]</v>
      </c>
    </row>
    <row r="10" spans="1:15" x14ac:dyDescent="0.2">
      <c r="A10" t="s">
        <v>123</v>
      </c>
      <c r="B10" t="s">
        <v>129</v>
      </c>
      <c r="C10">
        <v>64</v>
      </c>
      <c r="D10">
        <v>45</v>
      </c>
      <c r="E10">
        <f t="shared" si="6"/>
        <v>1.4222222222222223</v>
      </c>
      <c r="F10">
        <v>350</v>
      </c>
      <c r="G10">
        <f>ROUND(SQRT(F10/E10), 5)</f>
        <v>15.687379999999999</v>
      </c>
      <c r="H10">
        <f>G10*E10</f>
        <v>22.310940444444444</v>
      </c>
      <c r="I10">
        <v>572.99480882684202</v>
      </c>
      <c r="J10">
        <v>868.98611068725495</v>
      </c>
      <c r="K10">
        <f t="shared" si="3"/>
        <v>0.71623999999999999</v>
      </c>
      <c r="L10">
        <f t="shared" si="4"/>
        <v>0.72416000000000003</v>
      </c>
      <c r="M10" t="str">
        <f t="shared" si="1"/>
        <v>[0.71624 * imageHeight, 0.72416* imageWidth]</v>
      </c>
      <c r="N10" t="str">
        <f t="shared" si="2"/>
        <v>[(0.71624 * imageHeight) + 15.68738, (0.72416* imageWidth) + 22.3109404444444]</v>
      </c>
      <c r="O10" t="str">
        <f t="shared" si="5"/>
        <v>[[0.71624 * imageHeight, 0.72416* imageWidth], [(0.71624 * imageHeight) + 15.68738, (0.72416* imageWidth) + 22.3109404444444]]</v>
      </c>
    </row>
    <row r="11" spans="1:15" x14ac:dyDescent="0.2">
      <c r="A11" t="s">
        <v>124</v>
      </c>
      <c r="B11" t="s">
        <v>130</v>
      </c>
      <c r="C11">
        <v>64</v>
      </c>
      <c r="D11">
        <v>45</v>
      </c>
      <c r="E11">
        <f t="shared" si="6"/>
        <v>1.4222222222222223</v>
      </c>
      <c r="F11">
        <v>350</v>
      </c>
      <c r="G11">
        <f>ROUND(SQRT(F11/E11), 5)</f>
        <v>15.687379999999999</v>
      </c>
      <c r="H11">
        <f>G11*E11</f>
        <v>22.310940444444444</v>
      </c>
      <c r="I11">
        <v>322.24481142083602</v>
      </c>
      <c r="J11">
        <v>753.98611068725495</v>
      </c>
      <c r="K11">
        <f t="shared" si="3"/>
        <v>0.40281</v>
      </c>
      <c r="L11">
        <f t="shared" si="4"/>
        <v>0.62831999999999999</v>
      </c>
      <c r="M11" t="str">
        <f t="shared" si="1"/>
        <v>[0.40281 * imageHeight, 0.62832* imageWidth]</v>
      </c>
      <c r="N11" t="str">
        <f t="shared" si="2"/>
        <v>[(0.40281 * imageHeight) + 15.68738, (0.62832* imageWidth) + 22.3109404444444]</v>
      </c>
      <c r="O11" t="str">
        <f t="shared" si="5"/>
        <v>[[0.40281 * imageHeight, 0.62832* imageWidth], [(0.40281 * imageHeight) + 15.68738, (0.62832* imageWidth) + 22.3109404444444]]</v>
      </c>
    </row>
    <row r="12" spans="1:15" x14ac:dyDescent="0.2">
      <c r="A12" t="s">
        <v>125</v>
      </c>
      <c r="B12" t="s">
        <v>131</v>
      </c>
      <c r="C12">
        <v>64</v>
      </c>
      <c r="D12">
        <v>45</v>
      </c>
      <c r="E12">
        <f t="shared" si="6"/>
        <v>1.4222222222222223</v>
      </c>
      <c r="F12">
        <v>350</v>
      </c>
      <c r="G12">
        <f>ROUND(SQRT(F12/E12), 5)</f>
        <v>15.687379999999999</v>
      </c>
      <c r="H12">
        <f>G12*E12</f>
        <v>22.310940444444444</v>
      </c>
      <c r="I12">
        <v>380.99481794396797</v>
      </c>
      <c r="J12">
        <v>1047.9861106872499</v>
      </c>
      <c r="K12">
        <f t="shared" si="3"/>
        <v>0.47624</v>
      </c>
      <c r="L12">
        <f t="shared" si="4"/>
        <v>0.87331999999999999</v>
      </c>
      <c r="M12" t="str">
        <f t="shared" si="1"/>
        <v>[0.47624 * imageHeight, 0.87332* imageWidth]</v>
      </c>
      <c r="N12" t="str">
        <f t="shared" si="2"/>
        <v>[(0.47624 * imageHeight) + 15.68738, (0.87332* imageWidth) + 22.3109404444444]</v>
      </c>
      <c r="O12" t="str">
        <f t="shared" si="5"/>
        <v>[[0.47624 * imageHeight, 0.87332* imageWidth], [(0.47624 * imageHeight) + 15.68738, (0.87332* imageWidth) + 22.3109404444444]]</v>
      </c>
    </row>
    <row r="13" spans="1:15" x14ac:dyDescent="0.2">
      <c r="A13" t="s">
        <v>126</v>
      </c>
      <c r="B13" t="s">
        <v>132</v>
      </c>
      <c r="C13">
        <v>64</v>
      </c>
      <c r="D13">
        <v>45</v>
      </c>
      <c r="E13">
        <f t="shared" si="6"/>
        <v>1.4222222222222223</v>
      </c>
      <c r="F13">
        <v>350</v>
      </c>
      <c r="G13">
        <f>ROUND(SQRT(F13/E13), 5)</f>
        <v>15.687379999999999</v>
      </c>
      <c r="H13">
        <f>G13*E13</f>
        <v>22.310940444444444</v>
      </c>
      <c r="I13">
        <v>561.49481441537296</v>
      </c>
      <c r="J13">
        <v>81.486110687255803</v>
      </c>
      <c r="K13">
        <f t="shared" si="3"/>
        <v>0.70186999999999999</v>
      </c>
      <c r="L13">
        <f t="shared" si="4"/>
        <v>6.7909999999999998E-2</v>
      </c>
      <c r="M13" t="str">
        <f t="shared" si="1"/>
        <v>[0.70187 * imageHeight, 0.06791* imageWidth]</v>
      </c>
      <c r="N13" t="str">
        <f t="shared" si="2"/>
        <v>[(0.70187 * imageHeight) + 15.68738, (0.06791* imageWidth) + 22.3109404444444]</v>
      </c>
      <c r="O13" t="str">
        <f t="shared" si="5"/>
        <v>[[0.70187 * imageHeight, 0.06791* imageWidth], [(0.70187 * imageHeight) + 15.68738, (0.06791* imageWidth) + 22.3109404444444]]</v>
      </c>
    </row>
    <row r="14" spans="1:15" x14ac:dyDescent="0.2">
      <c r="A14" t="s">
        <v>133</v>
      </c>
      <c r="B14" t="s">
        <v>135</v>
      </c>
      <c r="C14">
        <v>51</v>
      </c>
      <c r="D14">
        <v>45</v>
      </c>
      <c r="E14">
        <f t="shared" si="6"/>
        <v>1.1333333333333333</v>
      </c>
      <c r="F14">
        <v>500</v>
      </c>
      <c r="G14">
        <f>ROUND(SQRT(F14/E14), 5)</f>
        <v>21.004200000000001</v>
      </c>
      <c r="H14">
        <f>G14*E14</f>
        <v>23.804760000000002</v>
      </c>
      <c r="I14">
        <v>535.744797802368</v>
      </c>
      <c r="J14">
        <v>689.73611068725495</v>
      </c>
      <c r="K14">
        <f t="shared" si="3"/>
        <v>0.66968000000000005</v>
      </c>
      <c r="L14">
        <f t="shared" si="4"/>
        <v>0.57477999999999996</v>
      </c>
      <c r="M14" t="str">
        <f t="shared" si="1"/>
        <v>[0.66968 * imageHeight, 0.57478* imageWidth]</v>
      </c>
      <c r="N14" t="str">
        <f t="shared" si="2"/>
        <v>[(0.66968 * imageHeight) + 21.0042, (0.57478* imageWidth) + 23.80476]</v>
      </c>
      <c r="O14" t="str">
        <f t="shared" si="5"/>
        <v>[[0.66968 * imageHeight, 0.57478* imageWidth], [(0.66968 * imageHeight) + 21.0042, (0.57478* imageWidth) + 23.80476]]</v>
      </c>
    </row>
    <row r="15" spans="1:15" x14ac:dyDescent="0.2">
      <c r="A15" t="s">
        <v>134</v>
      </c>
      <c r="B15" t="s">
        <v>135</v>
      </c>
      <c r="C15">
        <v>39</v>
      </c>
      <c r="D15">
        <v>58</v>
      </c>
      <c r="E15">
        <f t="shared" si="6"/>
        <v>0.67241379310344829</v>
      </c>
      <c r="F15">
        <v>500</v>
      </c>
      <c r="G15">
        <f>ROUND(SQRT(F15/E15), 5)</f>
        <v>27.268840000000001</v>
      </c>
      <c r="H15">
        <f>G15*E15</f>
        <v>18.335944137931037</v>
      </c>
      <c r="I15">
        <v>564.494795608917</v>
      </c>
      <c r="J15">
        <v>744.98611068725495</v>
      </c>
      <c r="K15">
        <f t="shared" si="3"/>
        <v>0.70562000000000002</v>
      </c>
      <c r="L15">
        <f t="shared" si="4"/>
        <v>0.62082000000000004</v>
      </c>
      <c r="M15" t="str">
        <f t="shared" si="1"/>
        <v>[0.70562 * imageHeight, 0.62082* imageWidth]</v>
      </c>
      <c r="N15" t="str">
        <f t="shared" si="2"/>
        <v>[(0.70562 * imageHeight) + 27.26884, (0.62082* imageWidth) + 18.335944137931]</v>
      </c>
      <c r="O15" t="str">
        <f t="shared" si="5"/>
        <v>[[0.70562 * imageHeight, 0.62082* imageWidth], [(0.70562 * imageHeight) + 27.26884, (0.62082* imageWidth) + 18.335944137931]]</v>
      </c>
    </row>
    <row r="16" spans="1:15" x14ac:dyDescent="0.2">
      <c r="A16" t="s">
        <v>136</v>
      </c>
      <c r="B16" t="s">
        <v>137</v>
      </c>
      <c r="C16">
        <v>64</v>
      </c>
      <c r="D16">
        <v>65</v>
      </c>
      <c r="E16">
        <f t="shared" si="6"/>
        <v>0.98461538461538467</v>
      </c>
      <c r="F16">
        <v>1000</v>
      </c>
      <c r="G16">
        <f>ROUND(SQRT(F16/E16), 5)</f>
        <v>31.868870000000001</v>
      </c>
      <c r="H16">
        <f>G16*E16</f>
        <v>31.378579692307696</v>
      </c>
      <c r="I16">
        <v>662.24479082147195</v>
      </c>
      <c r="J16">
        <v>235.98611068725501</v>
      </c>
      <c r="K16">
        <f t="shared" si="3"/>
        <v>0.82781000000000005</v>
      </c>
      <c r="L16">
        <f t="shared" si="4"/>
        <v>0.19666</v>
      </c>
      <c r="M16" t="str">
        <f t="shared" si="1"/>
        <v>[0.82781 * imageHeight, 0.19666* imageWidth]</v>
      </c>
      <c r="N16" t="str">
        <f t="shared" si="2"/>
        <v>[(0.82781 * imageHeight) + 31.86887, (0.19666* imageWidth) + 31.3785796923077]</v>
      </c>
      <c r="O16" t="str">
        <f t="shared" si="5"/>
        <v>[[0.82781 * imageHeight, 0.19666* imageWidth], [(0.82781 * imageHeight) + 31.86887, (0.19666* imageWidth) + 31.3785796923077]]</v>
      </c>
    </row>
    <row r="17" spans="1:15" x14ac:dyDescent="0.2">
      <c r="A17" t="s">
        <v>138</v>
      </c>
      <c r="B17" t="s">
        <v>137</v>
      </c>
      <c r="C17">
        <v>44</v>
      </c>
      <c r="D17">
        <v>54</v>
      </c>
      <c r="E17">
        <f t="shared" si="6"/>
        <v>0.81481481481481477</v>
      </c>
      <c r="F17">
        <v>500</v>
      </c>
      <c r="G17">
        <f>ROUND(SQRT(F17/E17), 5)</f>
        <v>24.77168</v>
      </c>
      <c r="H17">
        <f>G17*E17</f>
        <v>20.184331851851852</v>
      </c>
      <c r="I17">
        <v>659.99479099313396</v>
      </c>
      <c r="J17">
        <v>197.48611068725501</v>
      </c>
      <c r="K17">
        <f t="shared" si="3"/>
        <v>0.82499</v>
      </c>
      <c r="L17">
        <f t="shared" si="4"/>
        <v>0.16456999999999999</v>
      </c>
      <c r="M17" t="str">
        <f t="shared" si="1"/>
        <v>[0.82499 * imageHeight, 0.16457* imageWidth]</v>
      </c>
      <c r="N17" t="str">
        <f t="shared" si="2"/>
        <v>[(0.82499 * imageHeight) + 24.77168, (0.16457* imageWidth) + 20.1843318518519]</v>
      </c>
      <c r="O17" t="str">
        <f t="shared" si="5"/>
        <v>[[0.82499 * imageHeight, 0.16457* imageWidth], [(0.82499 * imageHeight) + 24.77168, (0.16457* imageWidth) + 20.1843318518519]]</v>
      </c>
    </row>
    <row r="18" spans="1:15" x14ac:dyDescent="0.2">
      <c r="A18" t="s">
        <v>139</v>
      </c>
      <c r="B18" t="s">
        <v>142</v>
      </c>
      <c r="C18">
        <v>58</v>
      </c>
      <c r="D18">
        <v>54</v>
      </c>
      <c r="E18">
        <f t="shared" si="6"/>
        <v>1.0740740740740742</v>
      </c>
      <c r="F18">
        <v>0</v>
      </c>
      <c r="G18">
        <f>ROUND(SQRT(F18/E18), 5)</f>
        <v>0</v>
      </c>
      <c r="H18">
        <f>G18*E18</f>
        <v>0</v>
      </c>
      <c r="I18">
        <v>380.12240332623202</v>
      </c>
      <c r="J18">
        <v>271.36805534362702</v>
      </c>
      <c r="K18">
        <f t="shared" si="3"/>
        <v>0.47515000000000002</v>
      </c>
      <c r="L18">
        <f t="shared" si="4"/>
        <v>0.22614000000000001</v>
      </c>
      <c r="M18" t="str">
        <f t="shared" si="1"/>
        <v>[0.47515 * imageHeight, 0.22614* imageWidth]</v>
      </c>
      <c r="N18" t="str">
        <f t="shared" si="2"/>
        <v>[(0.47515 * imageHeight) + 0, (0.22614* imageWidth) + 0]</v>
      </c>
      <c r="O18" t="str">
        <f t="shared" si="5"/>
        <v>[[0.47515 * imageHeight, 0.22614* imageWidth], [(0.47515 * imageHeight) + 0, (0.22614* imageWidth) + 0]]</v>
      </c>
    </row>
    <row r="19" spans="1:15" x14ac:dyDescent="0.2">
      <c r="A19" t="s">
        <v>140</v>
      </c>
      <c r="B19" t="s">
        <v>141</v>
      </c>
      <c r="C19">
        <v>58</v>
      </c>
      <c r="D19">
        <v>54</v>
      </c>
      <c r="E19">
        <f t="shared" si="6"/>
        <v>1.0740740740740742</v>
      </c>
      <c r="F19">
        <v>0</v>
      </c>
      <c r="G19">
        <f>ROUND(SQRT(F19/E19), 5)</f>
        <v>0</v>
      </c>
      <c r="H19">
        <f>G19*E19</f>
        <v>0</v>
      </c>
      <c r="I19">
        <v>460.49480230371</v>
      </c>
      <c r="J19">
        <v>437.98611068725501</v>
      </c>
      <c r="K19">
        <f t="shared" si="3"/>
        <v>0.57562000000000002</v>
      </c>
      <c r="L19">
        <f t="shared" si="4"/>
        <v>0.36498999999999998</v>
      </c>
      <c r="M19" t="str">
        <f t="shared" si="1"/>
        <v>[0.57562 * imageHeight, 0.36499* imageWidth]</v>
      </c>
      <c r="N19" t="str">
        <f t="shared" si="2"/>
        <v>[(0.57562 * imageHeight) + 0, (0.36499* imageWidth) + 0]</v>
      </c>
      <c r="O19" t="str">
        <f t="shared" si="5"/>
        <v>[[0.57562 * imageHeight, 0.36499* imageWidth], [(0.57562 * imageHeight) + 0, (0.36499* imageWidth) + 0]]</v>
      </c>
    </row>
    <row r="20" spans="1:15" x14ac:dyDescent="0.2">
      <c r="A20" t="s">
        <v>143</v>
      </c>
      <c r="B20" t="s">
        <v>144</v>
      </c>
      <c r="C20">
        <v>72</v>
      </c>
      <c r="D20">
        <v>72</v>
      </c>
      <c r="E20">
        <f t="shared" si="6"/>
        <v>1</v>
      </c>
      <c r="F20">
        <v>1000</v>
      </c>
      <c r="G20">
        <f>ROUND(SQRT(F20/E20), 5)</f>
        <v>31.622779999999999</v>
      </c>
      <c r="H20">
        <f>G20*E20</f>
        <v>31.622779999999999</v>
      </c>
      <c r="I20">
        <v>247.489602814514</v>
      </c>
      <c r="J20">
        <v>1000.47222137451</v>
      </c>
      <c r="K20">
        <f t="shared" si="3"/>
        <v>0.30936000000000002</v>
      </c>
      <c r="L20">
        <f t="shared" si="4"/>
        <v>0.83372999999999997</v>
      </c>
      <c r="M20" t="str">
        <f t="shared" si="1"/>
        <v>[0.30936 * imageHeight, 0.83373* imageWidth]</v>
      </c>
      <c r="N20" t="str">
        <f t="shared" si="2"/>
        <v>[(0.30936 * imageHeight) + 31.62278, (0.83373* imageWidth) + 31.62278]</v>
      </c>
      <c r="O20" t="str">
        <f t="shared" si="5"/>
        <v>[[0.30936 * imageHeight, 0.83373* imageWidth], [(0.30936 * imageHeight) + 31.62278, (0.83373* imageWidth) + 31.62278]]</v>
      </c>
    </row>
    <row r="21" spans="1:15" x14ac:dyDescent="0.2">
      <c r="A21" t="s">
        <v>145</v>
      </c>
      <c r="B21" t="s">
        <v>146</v>
      </c>
      <c r="C21">
        <v>59</v>
      </c>
      <c r="D21">
        <v>41</v>
      </c>
      <c r="E21">
        <f t="shared" si="6"/>
        <v>1.4390243902439024</v>
      </c>
      <c r="F21">
        <v>0</v>
      </c>
      <c r="G21">
        <f>ROUND(SQRT(F21/E21), 5)</f>
        <v>0</v>
      </c>
      <c r="H21">
        <f>G21*E21</f>
        <v>0</v>
      </c>
      <c r="I21">
        <v>666.93923969732305</v>
      </c>
      <c r="J21">
        <v>399.48611068725501</v>
      </c>
      <c r="K21">
        <f t="shared" si="3"/>
        <v>0.83367000000000002</v>
      </c>
      <c r="L21">
        <f t="shared" si="4"/>
        <v>0.33290999999999998</v>
      </c>
      <c r="M21" t="str">
        <f t="shared" si="1"/>
        <v>[0.83367 * imageHeight, 0.33291* imageWidth]</v>
      </c>
      <c r="N21" t="str">
        <f t="shared" si="2"/>
        <v>[(0.83367 * imageHeight) + 0, (0.33291* imageWidth) + 0]</v>
      </c>
      <c r="O21" t="str">
        <f t="shared" si="5"/>
        <v>[[0.83367 * imageHeight, 0.33291* imageWidth], [(0.83367 * imageHeight) + 0, (0.33291* imageWidth) + 0]]</v>
      </c>
    </row>
    <row r="22" spans="1:15" x14ac:dyDescent="0.2">
      <c r="A22" t="s">
        <v>147</v>
      </c>
      <c r="B22" t="s">
        <v>146</v>
      </c>
      <c r="C22">
        <v>40</v>
      </c>
      <c r="D22">
        <v>42</v>
      </c>
      <c r="E22">
        <f t="shared" si="6"/>
        <v>0.95238095238095233</v>
      </c>
      <c r="F22">
        <v>0</v>
      </c>
      <c r="G22">
        <f>ROUND(SQRT(F22/E22), 5)</f>
        <v>0</v>
      </c>
      <c r="H22">
        <f>G22*E22</f>
        <v>0</v>
      </c>
      <c r="I22">
        <v>624.689242920742</v>
      </c>
      <c r="J22">
        <v>414.48611068725501</v>
      </c>
      <c r="K22">
        <f t="shared" si="3"/>
        <v>0.78086</v>
      </c>
      <c r="L22">
        <f t="shared" si="4"/>
        <v>0.34540999999999999</v>
      </c>
      <c r="M22" t="str">
        <f t="shared" si="1"/>
        <v>[0.78086 * imageHeight, 0.34541* imageWidth]</v>
      </c>
      <c r="N22" t="str">
        <f t="shared" si="2"/>
        <v>[(0.78086 * imageHeight) + 0, (0.34541* imageWidth) + 0]</v>
      </c>
      <c r="O22" t="str">
        <f t="shared" si="5"/>
        <v>[[0.78086 * imageHeight, 0.34541* imageWidth], [(0.78086 * imageHeight) + 0, (0.34541* imageWidth) + 0]]</v>
      </c>
    </row>
    <row r="23" spans="1:15" x14ac:dyDescent="0.2">
      <c r="A23" t="s">
        <v>148</v>
      </c>
      <c r="B23" t="s">
        <v>149</v>
      </c>
      <c r="C23">
        <v>65</v>
      </c>
      <c r="D23">
        <v>63</v>
      </c>
      <c r="E23">
        <f t="shared" si="6"/>
        <v>1.0317460317460319</v>
      </c>
      <c r="F23">
        <v>1000</v>
      </c>
      <c r="G23">
        <f>ROUND(SQRT(F23/E23), 5)</f>
        <v>31.132470000000001</v>
      </c>
      <c r="H23">
        <f>G23*E23</f>
        <v>32.120802380952384</v>
      </c>
      <c r="I23">
        <v>656.43923769460696</v>
      </c>
      <c r="J23">
        <v>555.98611068725495</v>
      </c>
      <c r="K23">
        <f t="shared" si="3"/>
        <v>0.82055</v>
      </c>
      <c r="L23">
        <f t="shared" si="4"/>
        <v>0.46332000000000001</v>
      </c>
      <c r="M23" t="str">
        <f t="shared" si="1"/>
        <v>[0.82055 * imageHeight, 0.46332* imageWidth]</v>
      </c>
      <c r="N23" t="str">
        <f t="shared" si="2"/>
        <v>[(0.82055 * imageHeight) + 31.13247, (0.46332* imageWidth) + 32.1208023809524]</v>
      </c>
      <c r="O23" t="str">
        <f t="shared" si="5"/>
        <v>[[0.82055 * imageHeight, 0.46332* imageWidth], [(0.82055 * imageHeight) + 31.13247, (0.46332* imageWidth) + 32.1208023809524]]</v>
      </c>
    </row>
    <row r="24" spans="1:15" x14ac:dyDescent="0.2">
      <c r="A24" t="s">
        <v>150</v>
      </c>
      <c r="B24" t="s">
        <v>151</v>
      </c>
      <c r="C24">
        <v>38</v>
      </c>
      <c r="D24">
        <v>50</v>
      </c>
      <c r="E24">
        <f t="shared" si="6"/>
        <v>0.76</v>
      </c>
      <c r="F24">
        <v>500</v>
      </c>
      <c r="G24">
        <f>ROUND(SQRT(F24/E24), 5)</f>
        <v>25.649460000000001</v>
      </c>
      <c r="H24">
        <f>G24*E24</f>
        <v>19.4935896</v>
      </c>
      <c r="I24">
        <v>662.87848137828905</v>
      </c>
      <c r="J24">
        <v>639.97222137451104</v>
      </c>
      <c r="K24">
        <f t="shared" si="3"/>
        <v>0.8286</v>
      </c>
      <c r="L24">
        <f t="shared" si="4"/>
        <v>0.53330999999999995</v>
      </c>
      <c r="M24" t="str">
        <f t="shared" si="1"/>
        <v>[0.8286 * imageHeight, 0.53331* imageWidth]</v>
      </c>
      <c r="N24" t="str">
        <f t="shared" si="2"/>
        <v>[(0.8286 * imageHeight) + 25.64946, (0.53331* imageWidth) + 19.4935896]</v>
      </c>
      <c r="O24" t="str">
        <f t="shared" si="5"/>
        <v>[[0.8286 * imageHeight, 0.53331* imageWidth], [(0.8286 * imageHeight) + 25.64946, (0.53331* imageWidth) + 19.4935896]]</v>
      </c>
    </row>
    <row r="25" spans="1:15" x14ac:dyDescent="0.2">
      <c r="A25" t="s">
        <v>152</v>
      </c>
      <c r="B25" t="s">
        <v>149</v>
      </c>
      <c r="C25">
        <v>73</v>
      </c>
      <c r="D25">
        <v>64</v>
      </c>
      <c r="E25">
        <f t="shared" si="6"/>
        <v>1.140625</v>
      </c>
      <c r="F25">
        <v>1000</v>
      </c>
      <c r="G25">
        <f>ROUND(SQRT(F25/E25), 5)</f>
        <v>29.60933</v>
      </c>
      <c r="H25">
        <f>G25*E25</f>
        <v>33.773142031250003</v>
      </c>
      <c r="I25">
        <v>591.87848679515901</v>
      </c>
      <c r="J25">
        <v>620.97222137451104</v>
      </c>
      <c r="K25">
        <f t="shared" si="3"/>
        <v>0.73985000000000001</v>
      </c>
      <c r="L25">
        <f t="shared" si="4"/>
        <v>0.51748000000000005</v>
      </c>
      <c r="M25" t="str">
        <f t="shared" si="1"/>
        <v>[0.73985 * imageHeight, 0.51748* imageWidth]</v>
      </c>
      <c r="N25" t="str">
        <f t="shared" si="2"/>
        <v>[(0.73985 * imageHeight) + 29.60933, (0.51748* imageWidth) + 33.77314203125]</v>
      </c>
      <c r="O25" t="str">
        <f t="shared" si="5"/>
        <v>[[0.73985 * imageHeight, 0.51748* imageWidth], [(0.73985 * imageHeight) + 29.60933, (0.51748* imageWidth) + 33.77314203125]]</v>
      </c>
    </row>
    <row r="26" spans="1:15" x14ac:dyDescent="0.2">
      <c r="A26" t="s">
        <v>154</v>
      </c>
      <c r="B26" t="s">
        <v>153</v>
      </c>
      <c r="C26">
        <v>81</v>
      </c>
      <c r="D26">
        <v>41</v>
      </c>
      <c r="E26">
        <f t="shared" si="6"/>
        <v>1.975609756097561</v>
      </c>
      <c r="F26">
        <v>1000</v>
      </c>
      <c r="G26">
        <f>ROUND(SQRT(F26/E26), 5)</f>
        <v>22.498290000000001</v>
      </c>
      <c r="H26">
        <f>G26*E26</f>
        <v>44.447841219512199</v>
      </c>
      <c r="I26">
        <v>534.18924561010397</v>
      </c>
      <c r="J26">
        <v>517.23611068725495</v>
      </c>
      <c r="K26">
        <f t="shared" si="3"/>
        <v>0.66774</v>
      </c>
      <c r="L26">
        <f t="shared" si="4"/>
        <v>0.43103000000000002</v>
      </c>
      <c r="M26" t="str">
        <f t="shared" si="1"/>
        <v>[0.66774 * imageHeight, 0.43103* imageWidth]</v>
      </c>
      <c r="N26" t="str">
        <f t="shared" si="2"/>
        <v>[(0.66774 * imageHeight) + 22.49829, (0.43103* imageWidth) + 44.4478412195122]</v>
      </c>
      <c r="O26" t="str">
        <f t="shared" si="5"/>
        <v>[[0.66774 * imageHeight, 0.43103* imageWidth], [(0.66774 * imageHeight) + 22.49829, (0.43103* imageWidth) + 44.4478412195122]]</v>
      </c>
    </row>
    <row r="27" spans="1:15" x14ac:dyDescent="0.2">
      <c r="A27" t="s">
        <v>155</v>
      </c>
      <c r="B27" t="s">
        <v>156</v>
      </c>
      <c r="C27">
        <v>94</v>
      </c>
      <c r="D27">
        <v>80</v>
      </c>
      <c r="E27">
        <f t="shared" si="6"/>
        <v>1.175</v>
      </c>
      <c r="F27">
        <v>1500</v>
      </c>
      <c r="G27">
        <f>ROUND(SQRT(F27/E27), 5)</f>
        <v>35.729480000000002</v>
      </c>
      <c r="H27">
        <f>G27*E27</f>
        <v>41.982139000000004</v>
      </c>
      <c r="I27">
        <v>718.43923723684395</v>
      </c>
      <c r="J27">
        <v>457.48611068725501</v>
      </c>
      <c r="K27">
        <f t="shared" si="3"/>
        <v>0.89805000000000001</v>
      </c>
      <c r="L27">
        <f t="shared" si="4"/>
        <v>0.38124000000000002</v>
      </c>
      <c r="M27" t="str">
        <f t="shared" si="1"/>
        <v>[0.89805 * imageHeight, 0.38124* imageWidth]</v>
      </c>
      <c r="N27" t="str">
        <f t="shared" si="2"/>
        <v>[(0.89805 * imageHeight) + 35.72948, (0.38124* imageWidth) + 41.982139]</v>
      </c>
      <c r="O27" t="str">
        <f t="shared" si="5"/>
        <v>[[0.89805 * imageHeight, 0.38124* imageWidth], [(0.89805 * imageHeight) + 35.72948, (0.38124* imageWidth) + 41.982139]]</v>
      </c>
    </row>
    <row r="28" spans="1:15" x14ac:dyDescent="0.2">
      <c r="A28" t="s">
        <v>157</v>
      </c>
      <c r="B28" t="s">
        <v>158</v>
      </c>
      <c r="C28">
        <v>70</v>
      </c>
      <c r="D28">
        <v>70</v>
      </c>
      <c r="E28">
        <f t="shared" si="6"/>
        <v>1</v>
      </c>
      <c r="F28">
        <v>1500</v>
      </c>
      <c r="G28">
        <f>ROUND(SQRT(F28/E28), 5)</f>
        <v>38.72983</v>
      </c>
      <c r="H28">
        <f>G28*E28</f>
        <v>38.72983</v>
      </c>
      <c r="I28">
        <v>737.18924049840996</v>
      </c>
      <c r="J28">
        <v>316.73611068725501</v>
      </c>
      <c r="K28">
        <f t="shared" si="3"/>
        <v>0.92149000000000003</v>
      </c>
      <c r="L28">
        <f t="shared" si="4"/>
        <v>0.26395000000000002</v>
      </c>
      <c r="M28" t="str">
        <f t="shared" si="1"/>
        <v>[0.92149 * imageHeight, 0.26395* imageWidth]</v>
      </c>
      <c r="N28" t="str">
        <f t="shared" si="2"/>
        <v>[(0.92149 * imageHeight) + 38.72983, (0.26395* imageWidth) + 38.72983]</v>
      </c>
      <c r="O28" t="str">
        <f t="shared" si="5"/>
        <v>[[0.92149 * imageHeight, 0.26395* imageWidth], [(0.92149 * imageHeight) + 38.72983, (0.26395* imageWidth) + 38.72983]]</v>
      </c>
    </row>
    <row r="29" spans="1:15" x14ac:dyDescent="0.2">
      <c r="A29" t="s">
        <v>159</v>
      </c>
      <c r="B29" t="s">
        <v>160</v>
      </c>
      <c r="C29">
        <v>48</v>
      </c>
      <c r="D29">
        <v>35</v>
      </c>
      <c r="E29">
        <f t="shared" si="6"/>
        <v>1.3714285714285714</v>
      </c>
      <c r="F29">
        <v>500</v>
      </c>
      <c r="G29">
        <f>ROUND(SQRT(F29/E29), 5)</f>
        <v>19.094069999999999</v>
      </c>
      <c r="H29">
        <f>G29*E29</f>
        <v>26.18615314285714</v>
      </c>
      <c r="I29">
        <v>708.43924269186004</v>
      </c>
      <c r="J29">
        <v>156.98611068725501</v>
      </c>
      <c r="K29">
        <f t="shared" si="3"/>
        <v>0.88554999999999995</v>
      </c>
      <c r="L29">
        <f t="shared" si="4"/>
        <v>0.13081999999999999</v>
      </c>
      <c r="M29" t="str">
        <f t="shared" si="1"/>
        <v>[0.88555 * imageHeight, 0.13082* imageWidth]</v>
      </c>
      <c r="N29" t="str">
        <f t="shared" si="2"/>
        <v>[(0.88555 * imageHeight) + 19.09407, (0.13082* imageWidth) + 26.1861531428571]</v>
      </c>
      <c r="O29" t="str">
        <f t="shared" si="5"/>
        <v>[[0.88555 * imageHeight, 0.13082* imageWidth], [(0.88555 * imageHeight) + 19.09407, (0.13082* imageWidth) + 26.1861531428571]]</v>
      </c>
    </row>
    <row r="30" spans="1:15" x14ac:dyDescent="0.2">
      <c r="A30" t="s">
        <v>161</v>
      </c>
      <c r="B30" t="s">
        <v>160</v>
      </c>
      <c r="C30">
        <v>50</v>
      </c>
      <c r="D30">
        <v>52</v>
      </c>
      <c r="E30">
        <f t="shared" si="6"/>
        <v>0.96153846153846156</v>
      </c>
      <c r="F30">
        <v>1000</v>
      </c>
      <c r="G30">
        <f>ROUND(SQRT(F30/E30), 5)</f>
        <v>32.249029999999998</v>
      </c>
      <c r="H30">
        <f>G30*E30</f>
        <v>31.008682692307691</v>
      </c>
      <c r="I30">
        <v>732.43924086080597</v>
      </c>
      <c r="J30">
        <v>163.23611068725501</v>
      </c>
      <c r="K30">
        <f t="shared" si="3"/>
        <v>0.91554999999999997</v>
      </c>
      <c r="L30">
        <f t="shared" si="4"/>
        <v>0.13603000000000001</v>
      </c>
      <c r="M30" t="str">
        <f t="shared" si="1"/>
        <v>[0.91555 * imageHeight, 0.13603* imageWidth]</v>
      </c>
      <c r="N30" t="str">
        <f t="shared" si="2"/>
        <v>[(0.91555 * imageHeight) + 32.24903, (0.13603* imageWidth) + 31.0086826923077]</v>
      </c>
      <c r="O30" t="str">
        <f t="shared" si="5"/>
        <v>[[0.91555 * imageHeight, 0.13603* imageWidth], [(0.91555 * imageHeight) + 32.24903, (0.13603* imageWidth) + 31.0086826923077]]</v>
      </c>
    </row>
    <row r="31" spans="1:15" x14ac:dyDescent="0.2">
      <c r="A31" t="s">
        <v>162</v>
      </c>
      <c r="B31" t="s">
        <v>25</v>
      </c>
      <c r="C31">
        <v>38</v>
      </c>
      <c r="D31">
        <v>46</v>
      </c>
      <c r="E31">
        <f t="shared" si="6"/>
        <v>0.82608695652173914</v>
      </c>
      <c r="F31">
        <v>500</v>
      </c>
      <c r="G31">
        <f>ROUND(SQRT(F31/E31), 5)</f>
        <v>24.6021</v>
      </c>
      <c r="H31">
        <f>G31*E31</f>
        <v>20.323473913043479</v>
      </c>
      <c r="I31">
        <v>325.21962210886898</v>
      </c>
      <c r="J31">
        <v>103.11805534362701</v>
      </c>
      <c r="K31">
        <f t="shared" si="3"/>
        <v>0.40651999999999999</v>
      </c>
      <c r="L31">
        <f t="shared" si="4"/>
        <v>8.5930000000000006E-2</v>
      </c>
      <c r="M31" t="str">
        <f t="shared" si="1"/>
        <v>[0.40652 * imageHeight, 0.08593* imageWidth]</v>
      </c>
      <c r="N31" t="str">
        <f t="shared" si="2"/>
        <v>[(0.40652 * imageHeight) + 24.6021, (0.08593* imageWidth) + 20.3234739130435]</v>
      </c>
      <c r="O31" t="str">
        <f t="shared" si="5"/>
        <v>[[0.40652 * imageHeight, 0.08593* imageWidth], [(0.40652 * imageHeight) + 24.6021, (0.08593* imageWidth) + 20.3234739130435]]</v>
      </c>
    </row>
    <row r="32" spans="1:15" x14ac:dyDescent="0.2">
      <c r="A32" t="s">
        <v>163</v>
      </c>
      <c r="B32" t="s">
        <v>25</v>
      </c>
      <c r="C32">
        <v>52</v>
      </c>
      <c r="D32">
        <v>31</v>
      </c>
      <c r="E32">
        <f t="shared" si="6"/>
        <v>1.6774193548387097</v>
      </c>
      <c r="F32">
        <v>500</v>
      </c>
      <c r="G32">
        <f>ROUND(SQRT(F32/E32), 5)</f>
        <v>17.264900000000001</v>
      </c>
      <c r="H32">
        <f>G32*E32</f>
        <v>28.960477419354842</v>
      </c>
      <c r="I32">
        <v>348.594620325498</v>
      </c>
      <c r="J32">
        <v>129.99305534362699</v>
      </c>
      <c r="K32">
        <f t="shared" si="3"/>
        <v>0.43574000000000002</v>
      </c>
      <c r="L32">
        <f t="shared" si="4"/>
        <v>0.10833</v>
      </c>
      <c r="M32" t="str">
        <f t="shared" si="1"/>
        <v>[0.43574 * imageHeight, 0.10833* imageWidth]</v>
      </c>
      <c r="N32" t="str">
        <f t="shared" si="2"/>
        <v>[(0.43574 * imageHeight) + 17.2649, (0.10833* imageWidth) + 28.9604774193548]</v>
      </c>
      <c r="O32" t="str">
        <f t="shared" si="5"/>
        <v>[[0.43574 * imageHeight, 0.10833* imageWidth], [(0.43574 * imageHeight) + 17.2649, (0.10833* imageWidth) + 28.9604774193548]]</v>
      </c>
    </row>
    <row r="33" spans="1:15" x14ac:dyDescent="0.2">
      <c r="A33" t="s">
        <v>164</v>
      </c>
      <c r="B33" t="s">
        <v>165</v>
      </c>
      <c r="C33">
        <v>73</v>
      </c>
      <c r="D33">
        <v>59</v>
      </c>
      <c r="E33">
        <f t="shared" si="6"/>
        <v>1.2372881355932204</v>
      </c>
      <c r="F33">
        <v>1000</v>
      </c>
      <c r="G33">
        <f>ROUND(SQRT(F33/E33), 5)</f>
        <v>28.429200000000002</v>
      </c>
      <c r="H33">
        <f>G33*E33</f>
        <v>35.17511186440678</v>
      </c>
      <c r="I33">
        <v>423.87847496959802</v>
      </c>
      <c r="J33">
        <v>210.47222137451101</v>
      </c>
      <c r="K33">
        <f t="shared" si="3"/>
        <v>0.52985000000000004</v>
      </c>
      <c r="L33">
        <f t="shared" si="4"/>
        <v>0.17538999999999999</v>
      </c>
      <c r="M33" t="str">
        <f t="shared" si="1"/>
        <v>[0.52985 * imageHeight, 0.17539* imageWidth]</v>
      </c>
      <c r="N33" t="str">
        <f t="shared" si="2"/>
        <v>[(0.52985 * imageHeight) + 28.4292, (0.17539* imageWidth) + 35.1751118644068]</v>
      </c>
      <c r="O33" t="str">
        <f t="shared" si="5"/>
        <v>[[0.52985 * imageHeight, 0.17539* imageWidth], [(0.52985 * imageHeight) + 28.4292, (0.17539* imageWidth) + 35.1751118644068]]</v>
      </c>
    </row>
    <row r="34" spans="1:15" x14ac:dyDescent="0.2">
      <c r="A34" t="s">
        <v>169</v>
      </c>
      <c r="B34" t="s">
        <v>170</v>
      </c>
      <c r="C34">
        <v>48</v>
      </c>
      <c r="D34">
        <v>48</v>
      </c>
      <c r="E34">
        <f t="shared" si="6"/>
        <v>1</v>
      </c>
      <c r="F34">
        <v>500</v>
      </c>
      <c r="G34">
        <f>ROUND(SQRT(F34/E34), 5)</f>
        <v>22.360679999999999</v>
      </c>
      <c r="H34">
        <f>G34*E34</f>
        <v>22.360679999999999</v>
      </c>
      <c r="I34">
        <v>658.41580271409498</v>
      </c>
      <c r="J34">
        <v>341.99652481079102</v>
      </c>
      <c r="K34">
        <f t="shared" si="3"/>
        <v>0.82301999999999997</v>
      </c>
      <c r="L34">
        <f t="shared" si="4"/>
        <v>0.28499999999999998</v>
      </c>
      <c r="M34" t="str">
        <f t="shared" ref="M34:M59" si="7">_xlfn.CONCAT("[", K34, " * imageHeight", ", ", L34, "* imageWidth", "]")</f>
        <v>[0.82302 * imageHeight, 0.285* imageWidth]</v>
      </c>
      <c r="N34" t="str">
        <f t="shared" ref="N34:N59" si="8">_xlfn.CONCAT("[(", K34, " * imageHeight)", " + ",  G34, ", (", L34, "* imageWidth)", " + ", H34, "]" )</f>
        <v>[(0.82302 * imageHeight) + 22.36068, (0.285* imageWidth) + 22.36068]</v>
      </c>
      <c r="O34" t="str">
        <f t="shared" si="5"/>
        <v>[[0.82302 * imageHeight, 0.285* imageWidth], [(0.82302 * imageHeight) + 22.36068, (0.285* imageWidth) + 22.36068]]</v>
      </c>
    </row>
    <row r="35" spans="1:15" x14ac:dyDescent="0.2">
      <c r="A35" t="s">
        <v>171</v>
      </c>
      <c r="B35" t="s">
        <v>172</v>
      </c>
      <c r="C35">
        <v>54</v>
      </c>
      <c r="D35">
        <v>38</v>
      </c>
      <c r="E35">
        <f t="shared" si="6"/>
        <v>1.4210526315789473</v>
      </c>
      <c r="F35">
        <v>500</v>
      </c>
      <c r="G35">
        <f>ROUND(SQRT(F35/E35), 5)</f>
        <v>18.757709999999999</v>
      </c>
      <c r="H35">
        <f>G35*E35</f>
        <v>26.655693157894735</v>
      </c>
      <c r="I35">
        <v>547.41580601380804</v>
      </c>
      <c r="J35">
        <v>352.49652481079102</v>
      </c>
      <c r="K35">
        <f t="shared" si="3"/>
        <v>0.68427000000000004</v>
      </c>
      <c r="L35">
        <f t="shared" si="4"/>
        <v>0.29375000000000001</v>
      </c>
      <c r="M35" t="str">
        <f t="shared" si="7"/>
        <v>[0.68427 * imageHeight, 0.29375* imageWidth]</v>
      </c>
      <c r="N35" t="str">
        <f t="shared" si="8"/>
        <v>[(0.68427 * imageHeight) + 18.75771, (0.29375* imageWidth) + 26.6556931578947]</v>
      </c>
      <c r="O35" t="str">
        <f t="shared" si="5"/>
        <v>[[0.68427 * imageHeight, 0.29375* imageWidth], [(0.68427 * imageHeight) + 18.75771, (0.29375* imageWidth) + 26.6556931578947]]</v>
      </c>
    </row>
    <row r="36" spans="1:15" x14ac:dyDescent="0.2">
      <c r="A36" t="s">
        <v>173</v>
      </c>
      <c r="B36" t="s">
        <v>175</v>
      </c>
      <c r="C36">
        <v>64</v>
      </c>
      <c r="D36">
        <v>55</v>
      </c>
      <c r="E36">
        <f t="shared" si="6"/>
        <v>1.1636363636363636</v>
      </c>
      <c r="F36">
        <v>500</v>
      </c>
      <c r="G36">
        <f>ROUND(SQRT(F36/E36), 5)</f>
        <v>20.728899999999999</v>
      </c>
      <c r="H36">
        <f>G36*E36</f>
        <v>24.120901818181817</v>
      </c>
      <c r="I36">
        <v>507</v>
      </c>
      <c r="J36">
        <v>279.046875</v>
      </c>
      <c r="K36">
        <f t="shared" si="3"/>
        <v>0.63375000000000004</v>
      </c>
      <c r="L36">
        <f t="shared" si="4"/>
        <v>0.23254</v>
      </c>
      <c r="M36" t="str">
        <f t="shared" si="7"/>
        <v>[0.63375 * imageHeight, 0.23254* imageWidth]</v>
      </c>
      <c r="N36" t="str">
        <f t="shared" si="8"/>
        <v>[(0.63375 * imageHeight) + 20.7289, (0.23254* imageWidth) + 24.1209018181818]</v>
      </c>
      <c r="O36" t="str">
        <f t="shared" si="5"/>
        <v>[[0.63375 * imageHeight, 0.23254* imageWidth], [(0.63375 * imageHeight) + 20.7289, (0.23254* imageWidth) + 24.1209018181818]]</v>
      </c>
    </row>
    <row r="37" spans="1:15" x14ac:dyDescent="0.2">
      <c r="A37" t="s">
        <v>174</v>
      </c>
      <c r="B37" t="s">
        <v>175</v>
      </c>
      <c r="C37">
        <v>54</v>
      </c>
      <c r="D37">
        <v>52</v>
      </c>
      <c r="E37">
        <f t="shared" si="6"/>
        <v>1.0384615384615385</v>
      </c>
      <c r="F37">
        <v>500</v>
      </c>
      <c r="G37">
        <f>ROUND(SQRT(F37/E37), 5)</f>
        <v>21.942689999999999</v>
      </c>
      <c r="H37">
        <f>G37*E37</f>
        <v>22.786639615384615</v>
      </c>
      <c r="I37">
        <v>477.5</v>
      </c>
      <c r="J37">
        <v>312.546875</v>
      </c>
      <c r="K37">
        <f t="shared" si="3"/>
        <v>0.59687999999999997</v>
      </c>
      <c r="L37">
        <f t="shared" si="4"/>
        <v>0.26046000000000002</v>
      </c>
      <c r="M37" t="str">
        <f t="shared" si="7"/>
        <v>[0.59688 * imageHeight, 0.26046* imageWidth]</v>
      </c>
      <c r="N37" t="str">
        <f t="shared" si="8"/>
        <v>[(0.59688 * imageHeight) + 21.94269, (0.26046* imageWidth) + 22.7866396153846]</v>
      </c>
      <c r="O37" t="str">
        <f t="shared" si="5"/>
        <v>[[0.59688 * imageHeight, 0.26046* imageWidth], [(0.59688 * imageHeight) + 21.94269, (0.26046* imageWidth) + 22.7866396153846]]</v>
      </c>
    </row>
    <row r="38" spans="1:15" x14ac:dyDescent="0.2">
      <c r="A38" t="s">
        <v>176</v>
      </c>
      <c r="B38" t="s">
        <v>172</v>
      </c>
      <c r="C38">
        <v>61</v>
      </c>
      <c r="D38">
        <v>45</v>
      </c>
      <c r="E38">
        <f t="shared" si="6"/>
        <v>1.3555555555555556</v>
      </c>
      <c r="F38">
        <v>500</v>
      </c>
      <c r="G38">
        <f>ROUND(SQRT(F38/E38), 5)</f>
        <v>19.20553</v>
      </c>
      <c r="H38">
        <f>G38*E38</f>
        <v>26.03416288888889</v>
      </c>
      <c r="I38">
        <v>564.75</v>
      </c>
      <c r="J38">
        <v>406.796875</v>
      </c>
      <c r="K38">
        <f t="shared" si="3"/>
        <v>0.70594000000000001</v>
      </c>
      <c r="L38">
        <f t="shared" si="4"/>
        <v>0.33900000000000002</v>
      </c>
      <c r="M38" t="str">
        <f t="shared" si="7"/>
        <v>[0.70594 * imageHeight, 0.339* imageWidth]</v>
      </c>
      <c r="N38" t="str">
        <f t="shared" si="8"/>
        <v>[(0.70594 * imageHeight) + 19.20553, (0.339* imageWidth) + 26.0341628888889]</v>
      </c>
      <c r="O38" t="str">
        <f t="shared" si="5"/>
        <v>[[0.70594 * imageHeight, 0.339* imageWidth], [(0.70594 * imageHeight) + 19.20553, (0.339* imageWidth) + 26.0341628888889]]</v>
      </c>
    </row>
    <row r="39" spans="1:15" x14ac:dyDescent="0.2">
      <c r="A39" t="s">
        <v>177</v>
      </c>
      <c r="B39" t="s">
        <v>153</v>
      </c>
      <c r="C39">
        <v>38</v>
      </c>
      <c r="D39">
        <v>52</v>
      </c>
      <c r="E39">
        <f t="shared" si="6"/>
        <v>0.73076923076923073</v>
      </c>
      <c r="F39">
        <v>500</v>
      </c>
      <c r="G39">
        <f>ROUND(SQRT(F39/E39), 5)</f>
        <v>26.157419999999998</v>
      </c>
      <c r="H39">
        <f>G39*E39</f>
        <v>19.115037692307691</v>
      </c>
      <c r="I39">
        <v>618.625</v>
      </c>
      <c r="J39">
        <v>494.6484375</v>
      </c>
      <c r="K39">
        <f t="shared" si="3"/>
        <v>0.77327999999999997</v>
      </c>
      <c r="L39">
        <f t="shared" si="4"/>
        <v>0.41221000000000002</v>
      </c>
      <c r="M39" t="str">
        <f t="shared" si="7"/>
        <v>[0.77328 * imageHeight, 0.41221* imageWidth]</v>
      </c>
      <c r="N39" t="str">
        <f t="shared" si="8"/>
        <v>[(0.77328 * imageHeight) + 26.15742, (0.41221* imageWidth) + 19.1150376923077]</v>
      </c>
      <c r="O39" t="str">
        <f t="shared" si="5"/>
        <v>[[0.77328 * imageHeight, 0.41221* imageWidth], [(0.77328 * imageHeight) + 26.15742, (0.41221* imageWidth) + 19.1150376923077]]</v>
      </c>
    </row>
    <row r="40" spans="1:15" x14ac:dyDescent="0.2">
      <c r="A40" t="s">
        <v>178</v>
      </c>
      <c r="B40" t="s">
        <v>153</v>
      </c>
      <c r="C40">
        <v>65</v>
      </c>
      <c r="D40">
        <v>55</v>
      </c>
      <c r="E40">
        <f t="shared" si="6"/>
        <v>1.1818181818181819</v>
      </c>
      <c r="F40">
        <v>1000</v>
      </c>
      <c r="G40">
        <f>ROUND(SQRT(F40/E40), 5)</f>
        <v>29.088719999999999</v>
      </c>
      <c r="H40">
        <f>G40*E40</f>
        <v>34.37757818181818</v>
      </c>
      <c r="I40">
        <v>563</v>
      </c>
      <c r="J40">
        <v>446.546875</v>
      </c>
      <c r="K40">
        <f t="shared" si="3"/>
        <v>0.70374999999999999</v>
      </c>
      <c r="L40">
        <f t="shared" si="4"/>
        <v>0.37212000000000001</v>
      </c>
      <c r="M40" t="str">
        <f t="shared" si="7"/>
        <v>[0.70375 * imageHeight, 0.37212* imageWidth]</v>
      </c>
      <c r="N40" t="str">
        <f t="shared" si="8"/>
        <v>[(0.70375 * imageHeight) + 29.08872, (0.37212* imageWidth) + 34.3775781818182]</v>
      </c>
      <c r="O40" t="str">
        <f t="shared" si="5"/>
        <v>[[0.70375 * imageHeight, 0.37212* imageWidth], [(0.70375 * imageHeight) + 29.08872, (0.37212* imageWidth) + 34.3775781818182]]</v>
      </c>
    </row>
    <row r="41" spans="1:15" x14ac:dyDescent="0.2">
      <c r="A41" t="s">
        <v>179</v>
      </c>
      <c r="B41" t="s">
        <v>141</v>
      </c>
      <c r="C41">
        <v>50</v>
      </c>
      <c r="D41">
        <v>36</v>
      </c>
      <c r="E41">
        <f t="shared" si="6"/>
        <v>1.3888888888888888</v>
      </c>
      <c r="F41">
        <v>500</v>
      </c>
      <c r="G41">
        <f>ROUND(SQRT(F41/E41), 5)</f>
        <v>18.973669999999998</v>
      </c>
      <c r="H41">
        <f>G41*E41</f>
        <v>26.35231944444444</v>
      </c>
      <c r="I41">
        <v>465</v>
      </c>
      <c r="J41">
        <v>511.046875</v>
      </c>
      <c r="K41">
        <f t="shared" si="3"/>
        <v>0.58125000000000004</v>
      </c>
      <c r="L41">
        <f t="shared" si="4"/>
        <v>0.42587000000000003</v>
      </c>
      <c r="M41" t="str">
        <f t="shared" si="7"/>
        <v>[0.58125 * imageHeight, 0.42587* imageWidth]</v>
      </c>
      <c r="N41" t="str">
        <f t="shared" si="8"/>
        <v>[(0.58125 * imageHeight) + 18.97367, (0.42587* imageWidth) + 26.3523194444444]</v>
      </c>
      <c r="O41" t="str">
        <f t="shared" si="5"/>
        <v>[[0.58125 * imageHeight, 0.42587* imageWidth], [(0.58125 * imageHeight) + 18.97367, (0.42587* imageWidth) + 26.3523194444444]]</v>
      </c>
    </row>
    <row r="42" spans="1:15" x14ac:dyDescent="0.2">
      <c r="A42" t="s">
        <v>180</v>
      </c>
      <c r="B42" t="s">
        <v>181</v>
      </c>
      <c r="C42">
        <v>44</v>
      </c>
      <c r="D42">
        <v>36</v>
      </c>
      <c r="E42">
        <f t="shared" si="6"/>
        <v>1.2222222222222223</v>
      </c>
      <c r="F42">
        <v>500</v>
      </c>
      <c r="G42">
        <f>ROUND(SQRT(F42/E42), 5)</f>
        <v>20.225999999999999</v>
      </c>
      <c r="H42">
        <f>G42*E42</f>
        <v>24.720666666666666</v>
      </c>
      <c r="I42">
        <v>478.5</v>
      </c>
      <c r="J42">
        <v>132.09375</v>
      </c>
      <c r="K42">
        <f t="shared" si="3"/>
        <v>0.59813000000000005</v>
      </c>
      <c r="L42">
        <f t="shared" si="4"/>
        <v>0.11008</v>
      </c>
      <c r="M42" t="str">
        <f t="shared" si="7"/>
        <v>[0.59813 * imageHeight, 0.11008* imageWidth]</v>
      </c>
      <c r="N42" t="str">
        <f t="shared" si="8"/>
        <v>[(0.59813 * imageHeight) + 20.226, (0.11008* imageWidth) + 24.7206666666667]</v>
      </c>
      <c r="O42" t="str">
        <f t="shared" si="5"/>
        <v>[[0.59813 * imageHeight, 0.11008* imageWidth], [(0.59813 * imageHeight) + 20.226, (0.11008* imageWidth) + 24.7206666666667]]</v>
      </c>
    </row>
    <row r="43" spans="1:15" x14ac:dyDescent="0.2">
      <c r="A43" t="s">
        <v>182</v>
      </c>
      <c r="B43" t="s">
        <v>183</v>
      </c>
      <c r="C43">
        <v>23</v>
      </c>
      <c r="D43">
        <v>39</v>
      </c>
      <c r="E43">
        <f t="shared" si="6"/>
        <v>0.58974358974358976</v>
      </c>
      <c r="F43">
        <v>500</v>
      </c>
      <c r="G43">
        <f>ROUND(SQRT(F43/E43), 5)</f>
        <v>29.117450000000002</v>
      </c>
      <c r="H43">
        <f>G43*E43</f>
        <v>17.17182948717949</v>
      </c>
      <c r="I43">
        <v>306.25</v>
      </c>
      <c r="J43">
        <v>170.546875</v>
      </c>
      <c r="K43">
        <f t="shared" si="3"/>
        <v>0.38280999999999998</v>
      </c>
      <c r="L43">
        <f t="shared" si="4"/>
        <v>0.14212</v>
      </c>
      <c r="M43" t="str">
        <f t="shared" si="7"/>
        <v>[0.38281 * imageHeight, 0.14212* imageWidth]</v>
      </c>
      <c r="N43" t="str">
        <f t="shared" si="8"/>
        <v>[(0.38281 * imageHeight) + 29.11745, (0.14212* imageWidth) + 17.1718294871795]</v>
      </c>
      <c r="O43" t="str">
        <f t="shared" si="5"/>
        <v>[[0.38281 * imageHeight, 0.14212* imageWidth], [(0.38281 * imageHeight) + 29.11745, (0.14212* imageWidth) + 17.1718294871795]]</v>
      </c>
    </row>
    <row r="44" spans="1:15" x14ac:dyDescent="0.2">
      <c r="A44" t="s">
        <v>184</v>
      </c>
      <c r="B44" t="s">
        <v>183</v>
      </c>
      <c r="C44">
        <v>35</v>
      </c>
      <c r="D44">
        <v>38</v>
      </c>
      <c r="E44">
        <f t="shared" si="6"/>
        <v>0.92105263157894735</v>
      </c>
      <c r="F44">
        <v>500</v>
      </c>
      <c r="G44">
        <f>ROUND(SQRT(F44/E44), 5)</f>
        <v>23.299289999999999</v>
      </c>
      <c r="H44">
        <f>G44*E44</f>
        <v>21.459872368421053</v>
      </c>
      <c r="I44">
        <v>310</v>
      </c>
      <c r="J44">
        <v>198.546875</v>
      </c>
      <c r="K44">
        <f t="shared" si="3"/>
        <v>0.38750000000000001</v>
      </c>
      <c r="L44">
        <f t="shared" si="4"/>
        <v>0.16546</v>
      </c>
      <c r="M44" t="str">
        <f t="shared" si="7"/>
        <v>[0.3875 * imageHeight, 0.16546* imageWidth]</v>
      </c>
      <c r="N44" t="str">
        <f t="shared" si="8"/>
        <v>[(0.3875 * imageHeight) + 23.29929, (0.16546* imageWidth) + 21.4598723684211]</v>
      </c>
      <c r="O44" t="str">
        <f t="shared" si="5"/>
        <v>[[0.3875 * imageHeight, 0.16546* imageWidth], [(0.3875 * imageHeight) + 23.29929, (0.16546* imageWidth) + 21.4598723684211]]</v>
      </c>
    </row>
    <row r="45" spans="1:15" x14ac:dyDescent="0.2">
      <c r="A45" t="s">
        <v>185</v>
      </c>
      <c r="B45" t="s">
        <v>142</v>
      </c>
      <c r="C45">
        <v>58</v>
      </c>
      <c r="D45">
        <v>42</v>
      </c>
      <c r="E45">
        <f t="shared" si="6"/>
        <v>1.3809523809523809</v>
      </c>
      <c r="F45">
        <v>500</v>
      </c>
      <c r="G45">
        <f>ROUND(SQRT(F45/E45), 5)</f>
        <v>19.028110000000002</v>
      </c>
      <c r="H45">
        <f>G45*E45</f>
        <v>26.276913809523812</v>
      </c>
      <c r="I45">
        <v>359.75</v>
      </c>
      <c r="J45">
        <v>221.796875</v>
      </c>
      <c r="K45">
        <f t="shared" si="3"/>
        <v>0.44968999999999998</v>
      </c>
      <c r="L45">
        <f t="shared" si="4"/>
        <v>0.18482999999999999</v>
      </c>
      <c r="M45" t="str">
        <f t="shared" si="7"/>
        <v>[0.44969 * imageHeight, 0.18483* imageWidth]</v>
      </c>
      <c r="N45" t="str">
        <f t="shared" si="8"/>
        <v>[(0.44969 * imageHeight) + 19.02811, (0.18483* imageWidth) + 26.2769138095238]</v>
      </c>
      <c r="O45" t="str">
        <f t="shared" si="5"/>
        <v>[[0.44969 * imageHeight, 0.18483* imageWidth], [(0.44969 * imageHeight) + 19.02811, (0.18483* imageWidth) + 26.2769138095238]]</v>
      </c>
    </row>
    <row r="46" spans="1:15" x14ac:dyDescent="0.2">
      <c r="A46" t="s">
        <v>186</v>
      </c>
      <c r="B46" t="s">
        <v>142</v>
      </c>
      <c r="C46">
        <v>52</v>
      </c>
      <c r="D46">
        <v>44</v>
      </c>
      <c r="E46">
        <f t="shared" si="6"/>
        <v>1.1818181818181819</v>
      </c>
      <c r="F46">
        <v>500</v>
      </c>
      <c r="G46">
        <f>ROUND(SQRT(F46/E46), 5)</f>
        <v>20.568829999999998</v>
      </c>
      <c r="H46">
        <f>G46*E46</f>
        <v>24.308617272727272</v>
      </c>
      <c r="I46">
        <v>345.75</v>
      </c>
      <c r="J46">
        <v>246.796875</v>
      </c>
      <c r="K46">
        <f t="shared" si="3"/>
        <v>0.43219000000000002</v>
      </c>
      <c r="L46">
        <f t="shared" si="4"/>
        <v>0.20566000000000001</v>
      </c>
      <c r="M46" t="str">
        <f t="shared" si="7"/>
        <v>[0.43219 * imageHeight, 0.20566* imageWidth]</v>
      </c>
      <c r="N46" t="str">
        <f t="shared" si="8"/>
        <v>[(0.43219 * imageHeight) + 20.56883, (0.20566* imageWidth) + 24.3086172727273]</v>
      </c>
      <c r="O46" t="str">
        <f t="shared" si="5"/>
        <v>[[0.43219 * imageHeight, 0.20566* imageWidth], [(0.43219 * imageHeight) + 20.56883, (0.20566* imageWidth) + 24.3086172727273]]</v>
      </c>
    </row>
    <row r="47" spans="1:15" x14ac:dyDescent="0.2">
      <c r="A47" t="s">
        <v>211</v>
      </c>
      <c r="B47" t="s">
        <v>188</v>
      </c>
      <c r="C47">
        <v>88</v>
      </c>
      <c r="D47">
        <v>79</v>
      </c>
      <c r="E47">
        <f t="shared" si="6"/>
        <v>1.1139240506329113</v>
      </c>
      <c r="F47">
        <v>1500</v>
      </c>
      <c r="G47">
        <f>ROUND(SQRT(F47/E47), 5)</f>
        <v>36.695920000000001</v>
      </c>
      <c r="H47">
        <f>G47*E47</f>
        <v>40.876467848101264</v>
      </c>
      <c r="I47">
        <v>90</v>
      </c>
      <c r="J47">
        <v>101.046875</v>
      </c>
      <c r="K47">
        <f t="shared" si="3"/>
        <v>0.1125</v>
      </c>
      <c r="L47">
        <f t="shared" si="4"/>
        <v>8.4209999999999993E-2</v>
      </c>
      <c r="M47" t="str">
        <f t="shared" si="7"/>
        <v>[0.1125 * imageHeight, 0.08421* imageWidth]</v>
      </c>
      <c r="N47" t="str">
        <f t="shared" si="8"/>
        <v>[(0.1125 * imageHeight) + 36.69592, (0.08421* imageWidth) + 40.8764678481013]</v>
      </c>
      <c r="O47" t="str">
        <f t="shared" si="5"/>
        <v>[[0.1125 * imageHeight, 0.08421* imageWidth], [(0.1125 * imageHeight) + 36.69592, (0.08421* imageWidth) + 40.8764678481013]]</v>
      </c>
    </row>
    <row r="48" spans="1:15" x14ac:dyDescent="0.2">
      <c r="A48" t="s">
        <v>187</v>
      </c>
      <c r="B48" t="s">
        <v>188</v>
      </c>
      <c r="C48">
        <v>42</v>
      </c>
      <c r="D48">
        <v>46</v>
      </c>
      <c r="E48">
        <f t="shared" si="6"/>
        <v>0.91304347826086951</v>
      </c>
      <c r="F48">
        <v>1000</v>
      </c>
      <c r="G48">
        <f>ROUND(SQRT(F48/E48), 5)</f>
        <v>33.094380000000001</v>
      </c>
      <c r="H48">
        <f>G48*E48</f>
        <v>30.216607826086957</v>
      </c>
      <c r="I48">
        <v>53</v>
      </c>
      <c r="J48">
        <v>71.09375</v>
      </c>
      <c r="K48">
        <f t="shared" si="3"/>
        <v>6.6250000000000003E-2</v>
      </c>
      <c r="L48">
        <f t="shared" si="4"/>
        <v>5.9240000000000001E-2</v>
      </c>
      <c r="M48" t="str">
        <f t="shared" si="7"/>
        <v>[0.06625 * imageHeight, 0.05924* imageWidth]</v>
      </c>
      <c r="N48" t="str">
        <f t="shared" si="8"/>
        <v>[(0.06625 * imageHeight) + 33.09438, (0.05924* imageWidth) + 30.216607826087]</v>
      </c>
      <c r="O48" t="str">
        <f t="shared" si="5"/>
        <v>[[0.06625 * imageHeight, 0.05924* imageWidth], [(0.06625 * imageHeight) + 33.09438, (0.05924* imageWidth) + 30.216607826087]]</v>
      </c>
    </row>
    <row r="49" spans="1:15" x14ac:dyDescent="0.2">
      <c r="A49" t="s">
        <v>189</v>
      </c>
      <c r="B49" t="s">
        <v>190</v>
      </c>
      <c r="C49">
        <v>52</v>
      </c>
      <c r="D49">
        <v>44</v>
      </c>
      <c r="E49">
        <f t="shared" si="6"/>
        <v>1.1818181818181819</v>
      </c>
      <c r="F49">
        <v>500</v>
      </c>
      <c r="G49">
        <f>ROUND(SQRT(F49/E49), 5)</f>
        <v>20.568829999999998</v>
      </c>
      <c r="H49">
        <f>G49*E49</f>
        <v>24.308617272727272</v>
      </c>
      <c r="I49">
        <v>334.25</v>
      </c>
      <c r="J49">
        <v>1094.046875</v>
      </c>
      <c r="K49">
        <f t="shared" si="3"/>
        <v>0.41781000000000001</v>
      </c>
      <c r="L49">
        <f t="shared" si="4"/>
        <v>0.91171000000000002</v>
      </c>
      <c r="M49" t="str">
        <f t="shared" si="7"/>
        <v>[0.41781 * imageHeight, 0.91171* imageWidth]</v>
      </c>
      <c r="N49" t="str">
        <f t="shared" si="8"/>
        <v>[(0.41781 * imageHeight) + 20.56883, (0.91171* imageWidth) + 24.3086172727273]</v>
      </c>
      <c r="O49" t="str">
        <f t="shared" si="5"/>
        <v>[[0.41781 * imageHeight, 0.91171* imageWidth], [(0.41781 * imageHeight) + 20.56883, (0.91171* imageWidth) + 24.3086172727273]]</v>
      </c>
    </row>
    <row r="50" spans="1:15" x14ac:dyDescent="0.2">
      <c r="A50" t="s">
        <v>191</v>
      </c>
      <c r="B50" t="s">
        <v>192</v>
      </c>
      <c r="C50">
        <v>67</v>
      </c>
      <c r="D50">
        <v>49</v>
      </c>
      <c r="E50">
        <f t="shared" si="6"/>
        <v>1.3673469387755102</v>
      </c>
      <c r="F50">
        <v>1000</v>
      </c>
      <c r="G50">
        <f>ROUND(SQRT(F50/E50), 5)</f>
        <v>27.04336</v>
      </c>
      <c r="H50">
        <f>G50*E50</f>
        <v>36.97765551020408</v>
      </c>
      <c r="I50">
        <v>635</v>
      </c>
      <c r="J50">
        <v>952.796875</v>
      </c>
      <c r="K50">
        <f t="shared" si="3"/>
        <v>0.79374999999999996</v>
      </c>
      <c r="L50">
        <f t="shared" si="4"/>
        <v>0.79400000000000004</v>
      </c>
      <c r="M50" t="str">
        <f t="shared" si="7"/>
        <v>[0.79375 * imageHeight, 0.794* imageWidth]</v>
      </c>
      <c r="N50" t="str">
        <f t="shared" si="8"/>
        <v>[(0.79375 * imageHeight) + 27.04336, (0.794* imageWidth) + 36.9776555102041]</v>
      </c>
      <c r="O50" t="str">
        <f t="shared" si="5"/>
        <v>[[0.79375 * imageHeight, 0.794* imageWidth], [(0.79375 * imageHeight) + 27.04336, (0.794* imageWidth) + 36.9776555102041]]</v>
      </c>
    </row>
    <row r="51" spans="1:15" x14ac:dyDescent="0.2">
      <c r="A51" t="s">
        <v>193</v>
      </c>
      <c r="B51" t="s">
        <v>194</v>
      </c>
      <c r="C51">
        <v>48</v>
      </c>
      <c r="D51">
        <v>46</v>
      </c>
      <c r="E51">
        <f t="shared" si="6"/>
        <v>1.0434782608695652</v>
      </c>
      <c r="F51">
        <v>500</v>
      </c>
      <c r="G51">
        <f>ROUND(SQRT(F51/E51), 5)</f>
        <v>21.889880000000002</v>
      </c>
      <c r="H51">
        <f>G51*E51</f>
        <v>22.841613913043478</v>
      </c>
      <c r="I51">
        <v>580</v>
      </c>
      <c r="J51">
        <v>1075.296875</v>
      </c>
      <c r="K51">
        <f t="shared" si="3"/>
        <v>0.72499999999999998</v>
      </c>
      <c r="L51">
        <f t="shared" si="4"/>
        <v>0.89607999999999999</v>
      </c>
      <c r="M51" t="str">
        <f t="shared" si="7"/>
        <v>[0.725 * imageHeight, 0.89608* imageWidth]</v>
      </c>
      <c r="N51" t="str">
        <f t="shared" si="8"/>
        <v>[(0.725 * imageHeight) + 21.88988, (0.89608* imageWidth) + 22.8416139130435]</v>
      </c>
      <c r="O51" t="str">
        <f t="shared" si="5"/>
        <v>[[0.725 * imageHeight, 0.89608* imageWidth], [(0.725 * imageHeight) + 21.88988, (0.89608* imageWidth) + 22.8416139130435]]</v>
      </c>
    </row>
    <row r="52" spans="1:15" x14ac:dyDescent="0.2">
      <c r="A52" t="s">
        <v>195</v>
      </c>
      <c r="B52" t="s">
        <v>196</v>
      </c>
      <c r="C52">
        <v>45</v>
      </c>
      <c r="D52">
        <v>42</v>
      </c>
      <c r="E52">
        <f t="shared" si="6"/>
        <v>1.0714285714285714</v>
      </c>
      <c r="F52">
        <v>500</v>
      </c>
      <c r="G52">
        <f>ROUND(SQRT(F52/E52), 5)</f>
        <v>21.60247</v>
      </c>
      <c r="H52">
        <f>G52*E52</f>
        <v>23.14550357142857</v>
      </c>
      <c r="I52">
        <v>473</v>
      </c>
      <c r="J52">
        <v>940.09375</v>
      </c>
      <c r="K52">
        <f t="shared" si="3"/>
        <v>0.59125000000000005</v>
      </c>
      <c r="L52">
        <f t="shared" si="4"/>
        <v>0.78341000000000005</v>
      </c>
      <c r="M52" t="str">
        <f t="shared" si="7"/>
        <v>[0.59125 * imageHeight, 0.78341* imageWidth]</v>
      </c>
      <c r="N52" t="str">
        <f t="shared" si="8"/>
        <v>[(0.59125 * imageHeight) + 21.60247, (0.78341* imageWidth) + 23.1455035714286]</v>
      </c>
      <c r="O52" t="str">
        <f t="shared" si="5"/>
        <v>[[0.59125 * imageHeight, 0.78341* imageWidth], [(0.59125 * imageHeight) + 21.60247, (0.78341* imageWidth) + 23.1455035714286]]</v>
      </c>
    </row>
    <row r="53" spans="1:15" x14ac:dyDescent="0.2">
      <c r="A53" t="s">
        <v>197</v>
      </c>
      <c r="B53" t="s">
        <v>198</v>
      </c>
      <c r="C53">
        <v>59</v>
      </c>
      <c r="D53">
        <v>51</v>
      </c>
      <c r="E53">
        <f t="shared" si="6"/>
        <v>1.1568627450980393</v>
      </c>
      <c r="F53">
        <v>1000</v>
      </c>
      <c r="G53">
        <f>ROUND(SQRT(F53/E53), 5)</f>
        <v>29.4008</v>
      </c>
      <c r="H53">
        <f>G53*E53</f>
        <v>34.012690196078438</v>
      </c>
      <c r="I53">
        <v>399</v>
      </c>
      <c r="J53">
        <v>903.59375</v>
      </c>
      <c r="K53">
        <f t="shared" si="3"/>
        <v>0.49875000000000003</v>
      </c>
      <c r="L53">
        <f t="shared" si="4"/>
        <v>0.75299000000000005</v>
      </c>
      <c r="M53" t="str">
        <f t="shared" si="7"/>
        <v>[0.49875 * imageHeight, 0.75299* imageWidth]</v>
      </c>
      <c r="N53" t="str">
        <f t="shared" si="8"/>
        <v>[(0.49875 * imageHeight) + 29.4008, (0.75299* imageWidth) + 34.0126901960784]</v>
      </c>
      <c r="O53" t="str">
        <f t="shared" si="5"/>
        <v>[[0.49875 * imageHeight, 0.75299* imageWidth], [(0.49875 * imageHeight) + 29.4008, (0.75299* imageWidth) + 34.0126901960784]]</v>
      </c>
    </row>
    <row r="54" spans="1:15" x14ac:dyDescent="0.2">
      <c r="A54" t="s">
        <v>199</v>
      </c>
      <c r="B54" t="s">
        <v>200</v>
      </c>
      <c r="C54">
        <v>66</v>
      </c>
      <c r="D54">
        <v>53</v>
      </c>
      <c r="E54">
        <f t="shared" si="6"/>
        <v>1.2452830188679245</v>
      </c>
      <c r="F54">
        <v>500</v>
      </c>
      <c r="G54">
        <f>ROUND(SQRT(F54/E54), 5)</f>
        <v>20.037839999999999</v>
      </c>
      <c r="H54">
        <f>G54*E54</f>
        <v>24.952781886792451</v>
      </c>
      <c r="I54">
        <v>459.5</v>
      </c>
      <c r="J54">
        <v>863.09375</v>
      </c>
      <c r="K54">
        <f t="shared" si="3"/>
        <v>0.57438</v>
      </c>
      <c r="L54">
        <f t="shared" si="4"/>
        <v>0.71923999999999999</v>
      </c>
      <c r="M54" t="str">
        <f t="shared" si="7"/>
        <v>[0.57438 * imageHeight, 0.71924* imageWidth]</v>
      </c>
      <c r="N54" t="str">
        <f t="shared" si="8"/>
        <v>[(0.57438 * imageHeight) + 20.03784, (0.71924* imageWidth) + 24.9527818867925]</v>
      </c>
      <c r="O54" t="str">
        <f t="shared" si="5"/>
        <v>[[0.57438 * imageHeight, 0.71924* imageWidth], [(0.57438 * imageHeight) + 20.03784, (0.71924* imageWidth) + 24.9527818867925]]</v>
      </c>
    </row>
    <row r="55" spans="1:15" x14ac:dyDescent="0.2">
      <c r="A55" t="s">
        <v>201</v>
      </c>
      <c r="B55" t="s">
        <v>202</v>
      </c>
      <c r="C55">
        <v>30</v>
      </c>
      <c r="D55">
        <v>37</v>
      </c>
      <c r="E55">
        <f t="shared" si="6"/>
        <v>0.81081081081081086</v>
      </c>
      <c r="F55">
        <v>500</v>
      </c>
      <c r="G55">
        <f>ROUND(SQRT(F55/E55), 5)</f>
        <v>24.83277</v>
      </c>
      <c r="H55">
        <f>G55*E55</f>
        <v>20.134678378378378</v>
      </c>
      <c r="I55">
        <v>431.5</v>
      </c>
      <c r="J55">
        <v>1000.59375</v>
      </c>
      <c r="K55">
        <f t="shared" si="3"/>
        <v>0.53937999999999997</v>
      </c>
      <c r="L55">
        <f t="shared" si="4"/>
        <v>0.83382999999999996</v>
      </c>
      <c r="M55" t="str">
        <f t="shared" si="7"/>
        <v>[0.53938 * imageHeight, 0.83383* imageWidth]</v>
      </c>
      <c r="N55" t="str">
        <f t="shared" si="8"/>
        <v>[(0.53938 * imageHeight) + 24.83277, (0.83383* imageWidth) + 20.1346783783784]</v>
      </c>
      <c r="O55" t="str">
        <f t="shared" si="5"/>
        <v>[[0.53938 * imageHeight, 0.83383* imageWidth], [(0.53938 * imageHeight) + 24.83277, (0.83383* imageWidth) + 20.1346783783784]]</v>
      </c>
    </row>
    <row r="56" spans="1:15" x14ac:dyDescent="0.2">
      <c r="A56" t="s">
        <v>203</v>
      </c>
      <c r="B56" t="s">
        <v>204</v>
      </c>
      <c r="C56">
        <v>96</v>
      </c>
      <c r="D56">
        <v>76</v>
      </c>
      <c r="E56">
        <f t="shared" si="6"/>
        <v>1.263157894736842</v>
      </c>
      <c r="F56">
        <v>1000</v>
      </c>
      <c r="G56">
        <f>ROUND(SQRT(F56/E56), 5)</f>
        <v>28.136569999999999</v>
      </c>
      <c r="H56">
        <f>G56*E56</f>
        <v>35.540930526315783</v>
      </c>
      <c r="I56">
        <v>273</v>
      </c>
      <c r="J56">
        <v>578.09375</v>
      </c>
      <c r="K56">
        <f t="shared" si="3"/>
        <v>0.34125</v>
      </c>
      <c r="L56">
        <f t="shared" si="4"/>
        <v>0.48174</v>
      </c>
      <c r="M56" t="str">
        <f t="shared" si="7"/>
        <v>[0.34125 * imageHeight, 0.48174* imageWidth]</v>
      </c>
      <c r="N56" t="str">
        <f t="shared" si="8"/>
        <v>[(0.34125 * imageHeight) + 28.13657, (0.48174* imageWidth) + 35.5409305263158]</v>
      </c>
      <c r="O56" t="str">
        <f t="shared" si="5"/>
        <v>[[0.34125 * imageHeight, 0.48174* imageWidth], [(0.34125 * imageHeight) + 28.13657, (0.48174* imageWidth) + 35.5409305263158]]</v>
      </c>
    </row>
    <row r="57" spans="1:15" x14ac:dyDescent="0.2">
      <c r="A57" t="s">
        <v>205</v>
      </c>
      <c r="B57" t="s">
        <v>207</v>
      </c>
      <c r="C57">
        <v>60</v>
      </c>
      <c r="D57">
        <v>71</v>
      </c>
      <c r="E57">
        <f t="shared" si="6"/>
        <v>0.84507042253521125</v>
      </c>
      <c r="F57">
        <v>500</v>
      </c>
      <c r="G57">
        <f>ROUND(SQRT(F57/E57), 5)</f>
        <v>24.324200000000001</v>
      </c>
      <c r="H57">
        <f>G57*E57</f>
        <v>20.555661971830986</v>
      </c>
      <c r="I57">
        <v>232</v>
      </c>
      <c r="J57">
        <v>615.1875</v>
      </c>
      <c r="K57">
        <f t="shared" si="3"/>
        <v>0.28999999999999998</v>
      </c>
      <c r="L57">
        <f t="shared" si="4"/>
        <v>0.51266</v>
      </c>
      <c r="M57" t="str">
        <f t="shared" si="7"/>
        <v>[0.29 * imageHeight, 0.51266* imageWidth]</v>
      </c>
      <c r="N57" t="str">
        <f t="shared" si="8"/>
        <v>[(0.29 * imageHeight) + 24.3242, (0.51266* imageWidth) + 20.555661971831]</v>
      </c>
      <c r="O57" t="str">
        <f t="shared" si="5"/>
        <v>[[0.29 * imageHeight, 0.51266* imageWidth], [(0.29 * imageHeight) + 24.3242, (0.51266* imageWidth) + 20.555661971831]]</v>
      </c>
    </row>
    <row r="58" spans="1:15" x14ac:dyDescent="0.2">
      <c r="A58" t="s">
        <v>206</v>
      </c>
      <c r="B58" t="s">
        <v>208</v>
      </c>
      <c r="C58">
        <v>60</v>
      </c>
      <c r="D58">
        <v>71</v>
      </c>
      <c r="E58">
        <f t="shared" si="6"/>
        <v>0.84507042253521125</v>
      </c>
      <c r="F58">
        <v>500</v>
      </c>
      <c r="G58">
        <f>ROUND(SQRT(F58/E58), 5)</f>
        <v>24.324200000000001</v>
      </c>
      <c r="H58">
        <f>G58*E58</f>
        <v>20.555661971830986</v>
      </c>
      <c r="I58">
        <v>394</v>
      </c>
      <c r="J58">
        <v>766.1875</v>
      </c>
      <c r="K58">
        <f t="shared" si="3"/>
        <v>0.49249999999999999</v>
      </c>
      <c r="L58">
        <f t="shared" si="4"/>
        <v>0.63849</v>
      </c>
      <c r="M58" t="str">
        <f t="shared" si="7"/>
        <v>[0.4925 * imageHeight, 0.63849* imageWidth]</v>
      </c>
      <c r="N58" t="str">
        <f t="shared" si="8"/>
        <v>[(0.4925 * imageHeight) + 24.3242, (0.63849* imageWidth) + 20.555661971831]</v>
      </c>
      <c r="O58" t="str">
        <f t="shared" si="5"/>
        <v>[[0.4925 * imageHeight, 0.63849* imageWidth], [(0.4925 * imageHeight) + 24.3242, (0.63849* imageWidth) + 20.555661971831]]</v>
      </c>
    </row>
    <row r="59" spans="1:15" x14ac:dyDescent="0.2">
      <c r="A59" t="s">
        <v>209</v>
      </c>
      <c r="B59" t="s">
        <v>210</v>
      </c>
      <c r="C59">
        <v>84</v>
      </c>
      <c r="D59">
        <v>84</v>
      </c>
      <c r="E59">
        <f t="shared" si="6"/>
        <v>1</v>
      </c>
      <c r="F59">
        <v>1500</v>
      </c>
      <c r="G59">
        <f>ROUND(SQRT(F59/E59), 5)</f>
        <v>38.72983</v>
      </c>
      <c r="H59">
        <f>G59*E59</f>
        <v>38.72983</v>
      </c>
      <c r="I59">
        <v>171</v>
      </c>
      <c r="J59">
        <v>913.1875</v>
      </c>
      <c r="K59">
        <f t="shared" si="3"/>
        <v>0.21375</v>
      </c>
      <c r="L59">
        <f t="shared" si="4"/>
        <v>0.76099000000000006</v>
      </c>
      <c r="M59" t="str">
        <f t="shared" si="7"/>
        <v>[0.21375 * imageHeight, 0.76099* imageWidth]</v>
      </c>
      <c r="N59" t="str">
        <f t="shared" si="8"/>
        <v>[(0.21375 * imageHeight) + 38.72983, (0.76099* imageWidth) + 38.72983]</v>
      </c>
      <c r="O59" t="str">
        <f t="shared" si="5"/>
        <v>[[0.21375 * imageHeight, 0.76099* imageWidth], [(0.21375 * imageHeight) + 38.72983, (0.76099* imageWidth) + 38.72983]]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circleMarkers</vt:lpstr>
      <vt:lpstr>polygons</vt:lpstr>
      <vt:lpstr>pokemon_specific</vt:lpstr>
      <vt:lpstr>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Kabir</dc:creator>
  <cp:lastModifiedBy>Jain, Kabir</cp:lastModifiedBy>
  <dcterms:created xsi:type="dcterms:W3CDTF">2025-10-31T21:58:53Z</dcterms:created>
  <dcterms:modified xsi:type="dcterms:W3CDTF">2025-11-05T23:27:10Z</dcterms:modified>
</cp:coreProperties>
</file>